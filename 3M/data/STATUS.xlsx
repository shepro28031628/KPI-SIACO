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Documents\GitHub\KPI-SIACO\3M\data\"/>
    </mc:Choice>
  </mc:AlternateContent>
  <xr:revisionPtr revIDLastSave="0" documentId="8_{F125C419-B86B-48FA-BAE5-C9828D57149E}" xr6:coauthVersionLast="47" xr6:coauthVersionMax="47" xr10:uidLastSave="{00000000-0000-0000-0000-000000000000}"/>
  <bookViews>
    <workbookView xWindow="-120" yWindow="-120" windowWidth="20730" windowHeight="11040" xr2:uid="{66479DE6-27DF-4884-89D8-5DB4C3C0830E}"/>
  </bookViews>
  <sheets>
    <sheet name="Registros  3M " sheetId="1" r:id="rId1"/>
  </sheets>
  <externalReferences>
    <externalReference r:id="rId2"/>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35" i="1" l="1"/>
  <c r="AB435" i="1" s="1"/>
  <c r="A434" i="1"/>
  <c r="AB434" i="1" s="1"/>
  <c r="A433" i="1"/>
  <c r="AB433" i="1" s="1"/>
  <c r="A432" i="1"/>
  <c r="AB432" i="1" s="1"/>
  <c r="A431" i="1"/>
  <c r="AB431" i="1" s="1"/>
  <c r="A430" i="1"/>
  <c r="AB430" i="1" s="1"/>
  <c r="A429" i="1"/>
  <c r="AB429" i="1" s="1"/>
  <c r="A428" i="1"/>
  <c r="AB428" i="1" s="1"/>
  <c r="A427" i="1"/>
  <c r="AB427" i="1" s="1"/>
  <c r="A426" i="1"/>
  <c r="AB426" i="1" s="1"/>
  <c r="A425" i="1"/>
  <c r="AB425" i="1" s="1"/>
  <c r="A424" i="1"/>
  <c r="AB424" i="1" s="1"/>
  <c r="A423" i="1"/>
  <c r="AB423" i="1" s="1"/>
  <c r="A422" i="1"/>
  <c r="AB422" i="1" s="1"/>
  <c r="A421" i="1"/>
  <c r="AB421" i="1" s="1"/>
  <c r="A420" i="1"/>
  <c r="AB420" i="1" s="1"/>
  <c r="A419" i="1"/>
  <c r="AB419" i="1" s="1"/>
  <c r="A418" i="1"/>
  <c r="AB418" i="1" s="1"/>
  <c r="A417" i="1"/>
  <c r="AB417" i="1" s="1"/>
  <c r="A416" i="1"/>
  <c r="AB416" i="1" s="1"/>
  <c r="A415" i="1"/>
  <c r="AB415" i="1" s="1"/>
  <c r="A414" i="1"/>
  <c r="AB414" i="1" s="1"/>
  <c r="A413" i="1"/>
  <c r="AB413" i="1" s="1"/>
  <c r="A412" i="1"/>
  <c r="AB412" i="1" s="1"/>
  <c r="A411" i="1"/>
  <c r="AB411" i="1" s="1"/>
  <c r="A410" i="1"/>
  <c r="AB410" i="1" s="1"/>
  <c r="A409" i="1"/>
  <c r="AB409" i="1" s="1"/>
  <c r="A408" i="1"/>
  <c r="AB408" i="1" s="1"/>
  <c r="A407" i="1"/>
  <c r="AB407" i="1" s="1"/>
  <c r="A406" i="1"/>
  <c r="AB406" i="1" s="1"/>
  <c r="A405" i="1"/>
  <c r="AB405" i="1" s="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339" i="1"/>
  <c r="AB339" i="1"/>
  <c r="A338" i="1"/>
  <c r="AB338" i="1"/>
  <c r="A337" i="1"/>
  <c r="AB337" i="1"/>
  <c r="A336" i="1"/>
  <c r="AB336" i="1"/>
  <c r="A335" i="1"/>
  <c r="AB335" i="1"/>
  <c r="A334" i="1"/>
  <c r="AB334" i="1"/>
  <c r="A333" i="1"/>
  <c r="AB333" i="1"/>
  <c r="A332" i="1"/>
  <c r="AB332" i="1"/>
  <c r="A331" i="1"/>
  <c r="AB331" i="1"/>
  <c r="A330" i="1"/>
  <c r="AB330" i="1"/>
  <c r="A329" i="1"/>
  <c r="AB329" i="1"/>
  <c r="A328" i="1"/>
  <c r="AB328" i="1"/>
  <c r="A327" i="1"/>
  <c r="AB327" i="1"/>
  <c r="A326" i="1"/>
  <c r="AB326" i="1"/>
  <c r="A325" i="1"/>
  <c r="AB325" i="1"/>
  <c r="A324" i="1"/>
  <c r="AB324" i="1"/>
  <c r="A323" i="1"/>
  <c r="AB323" i="1"/>
  <c r="A322" i="1"/>
  <c r="AB322" i="1"/>
  <c r="A321" i="1"/>
  <c r="AB321" i="1"/>
  <c r="A320" i="1"/>
  <c r="AB320" i="1"/>
  <c r="A319" i="1"/>
  <c r="AB319" i="1"/>
  <c r="A318" i="1"/>
  <c r="AB318" i="1"/>
  <c r="A317" i="1"/>
  <c r="AB317" i="1"/>
  <c r="A316" i="1"/>
  <c r="AB316" i="1"/>
  <c r="A315" i="1"/>
  <c r="AB315" i="1"/>
  <c r="A314" i="1"/>
  <c r="AB314" i="1"/>
  <c r="A313" i="1"/>
  <c r="AB313" i="1"/>
  <c r="A312" i="1"/>
  <c r="AB312" i="1"/>
  <c r="A311" i="1"/>
  <c r="AB311" i="1"/>
  <c r="A310" i="1"/>
  <c r="AB310" i="1"/>
  <c r="A309" i="1"/>
  <c r="AB309" i="1"/>
  <c r="A308" i="1"/>
  <c r="AB308" i="1"/>
  <c r="A307" i="1"/>
  <c r="AB307" i="1"/>
  <c r="A306" i="1"/>
  <c r="AB306" i="1"/>
  <c r="A305" i="1"/>
  <c r="AB305" i="1"/>
  <c r="A304" i="1"/>
  <c r="AB304" i="1"/>
  <c r="A303" i="1"/>
  <c r="AB303" i="1"/>
  <c r="A302" i="1"/>
  <c r="AB302" i="1"/>
  <c r="A301" i="1"/>
  <c r="AB301" i="1"/>
  <c r="A300" i="1"/>
  <c r="AB300" i="1"/>
  <c r="A299" i="1"/>
  <c r="AB299" i="1"/>
  <c r="A298" i="1"/>
  <c r="AB298" i="1"/>
  <c r="A297" i="1"/>
  <c r="AB297" i="1"/>
  <c r="A296" i="1"/>
  <c r="AB296" i="1"/>
  <c r="A295" i="1"/>
  <c r="AB295" i="1"/>
  <c r="A294" i="1"/>
  <c r="AB294" i="1"/>
  <c r="A293" i="1"/>
  <c r="AB293" i="1"/>
  <c r="A292" i="1"/>
  <c r="AB292" i="1"/>
  <c r="A291" i="1"/>
  <c r="AB291" i="1"/>
  <c r="A290" i="1"/>
  <c r="AB290" i="1"/>
  <c r="A289" i="1"/>
  <c r="AB289" i="1"/>
  <c r="A288" i="1"/>
  <c r="AB288" i="1"/>
  <c r="A287" i="1"/>
  <c r="AB287" i="1"/>
  <c r="A286" i="1"/>
  <c r="AB286" i="1"/>
  <c r="A285" i="1"/>
  <c r="AB285" i="1"/>
  <c r="A284" i="1"/>
  <c r="AB284" i="1"/>
  <c r="A283" i="1"/>
  <c r="AB283" i="1"/>
  <c r="A282" i="1"/>
  <c r="AB282" i="1"/>
  <c r="A281" i="1"/>
  <c r="AB281" i="1"/>
  <c r="A280" i="1"/>
  <c r="AB280" i="1"/>
  <c r="A279" i="1"/>
  <c r="AB279" i="1"/>
  <c r="A278" i="1"/>
  <c r="AB278" i="1"/>
  <c r="A277" i="1"/>
  <c r="AB277" i="1"/>
  <c r="A276" i="1"/>
  <c r="AB276" i="1"/>
  <c r="A275" i="1"/>
  <c r="AB275" i="1"/>
  <c r="A274" i="1"/>
  <c r="AB274" i="1"/>
  <c r="A273" i="1"/>
  <c r="AB273" i="1"/>
  <c r="A272" i="1"/>
  <c r="AB272" i="1"/>
  <c r="A271" i="1"/>
  <c r="AB271" i="1"/>
  <c r="A270" i="1"/>
  <c r="AB270" i="1"/>
  <c r="A269" i="1"/>
  <c r="AB269" i="1"/>
  <c r="A268" i="1"/>
  <c r="AB268" i="1"/>
  <c r="A267" i="1"/>
  <c r="AB267" i="1"/>
  <c r="A266" i="1"/>
  <c r="AB266" i="1"/>
  <c r="A265" i="1"/>
  <c r="AB265" i="1"/>
  <c r="A264" i="1"/>
  <c r="AB264" i="1"/>
  <c r="A263" i="1"/>
  <c r="AB263" i="1"/>
  <c r="A262" i="1"/>
  <c r="AB262" i="1"/>
  <c r="A261" i="1"/>
  <c r="AB261" i="1"/>
  <c r="A260" i="1"/>
  <c r="AB260" i="1"/>
  <c r="A259" i="1"/>
  <c r="AB259" i="1"/>
  <c r="A258" i="1"/>
  <c r="AB258" i="1"/>
  <c r="A257" i="1"/>
  <c r="AB257" i="1"/>
  <c r="A256" i="1"/>
  <c r="AB256" i="1"/>
  <c r="A255" i="1"/>
  <c r="AB255" i="1"/>
  <c r="A254" i="1"/>
  <c r="AB254" i="1"/>
  <c r="A253" i="1"/>
  <c r="AB253" i="1"/>
  <c r="A252" i="1"/>
  <c r="AB252" i="1"/>
  <c r="A251" i="1"/>
  <c r="AB251" i="1"/>
  <c r="A250" i="1"/>
  <c r="AB250" i="1"/>
  <c r="A249" i="1"/>
  <c r="AB249" i="1"/>
  <c r="A248" i="1"/>
  <c r="AB248" i="1"/>
  <c r="A247" i="1"/>
  <c r="AB247" i="1"/>
  <c r="A246" i="1"/>
  <c r="AB246" i="1"/>
  <c r="A245" i="1"/>
  <c r="AB245" i="1"/>
  <c r="A244" i="1"/>
  <c r="AB244" i="1"/>
  <c r="A243" i="1"/>
  <c r="AB243" i="1"/>
  <c r="A242" i="1"/>
  <c r="A241" i="1"/>
  <c r="AB241" i="1" s="1"/>
  <c r="A240" i="1"/>
  <c r="AB240" i="1" s="1"/>
  <c r="A239" i="1"/>
  <c r="AB239" i="1" s="1"/>
  <c r="A238" i="1"/>
  <c r="AB238" i="1" s="1"/>
  <c r="A237" i="1"/>
  <c r="AB237" i="1" s="1"/>
  <c r="A236" i="1"/>
  <c r="AB236" i="1" s="1"/>
  <c r="A235" i="1"/>
  <c r="AB235" i="1" s="1"/>
  <c r="A234" i="1"/>
  <c r="AB234" i="1" s="1"/>
  <c r="A233" i="1"/>
  <c r="AB233" i="1" s="1"/>
  <c r="A232" i="1"/>
  <c r="AB232" i="1" s="1"/>
  <c r="A231" i="1"/>
  <c r="AB231" i="1" s="1"/>
  <c r="A230" i="1"/>
  <c r="AB230" i="1" s="1"/>
  <c r="A229" i="1"/>
  <c r="AB229" i="1" s="1"/>
  <c r="A228" i="1"/>
  <c r="AB228" i="1" s="1"/>
  <c r="A227" i="1"/>
  <c r="AB227" i="1" s="1"/>
  <c r="A226" i="1"/>
  <c r="AB226" i="1" s="1"/>
  <c r="A225" i="1"/>
  <c r="AB225" i="1" s="1"/>
  <c r="A224" i="1"/>
  <c r="AB224" i="1" s="1"/>
  <c r="A223" i="1"/>
  <c r="AB223" i="1" s="1"/>
  <c r="A222" i="1"/>
  <c r="AB222" i="1" s="1"/>
  <c r="A221" i="1"/>
  <c r="AB221" i="1" s="1"/>
  <c r="A220" i="1"/>
  <c r="AB220" i="1" s="1"/>
  <c r="A219" i="1"/>
  <c r="AB219" i="1" s="1"/>
  <c r="A218" i="1"/>
  <c r="AB218" i="1" s="1"/>
  <c r="A217" i="1"/>
  <c r="AB217" i="1" s="1"/>
  <c r="A216" i="1"/>
  <c r="AB216" i="1" s="1"/>
  <c r="A215" i="1"/>
  <c r="AB215" i="1" s="1"/>
  <c r="A214" i="1"/>
  <c r="AB214" i="1" s="1"/>
  <c r="A213" i="1"/>
  <c r="AB213" i="1" s="1"/>
  <c r="A212" i="1"/>
  <c r="AB212" i="1" s="1"/>
  <c r="A211" i="1"/>
  <c r="AB211" i="1" s="1"/>
  <c r="A210" i="1"/>
  <c r="AB210" i="1" s="1"/>
  <c r="A209" i="1"/>
  <c r="AB209" i="1" s="1"/>
  <c r="A208" i="1"/>
  <c r="AB208" i="1" s="1"/>
  <c r="A207" i="1"/>
  <c r="AB207" i="1" s="1"/>
  <c r="A206" i="1"/>
  <c r="AB206" i="1" s="1"/>
  <c r="A205" i="1"/>
  <c r="AB205" i="1" s="1"/>
  <c r="A204" i="1"/>
  <c r="AB204" i="1" s="1"/>
  <c r="A203" i="1"/>
  <c r="AB203" i="1" s="1"/>
  <c r="A202" i="1"/>
  <c r="AB202" i="1" s="1"/>
  <c r="A201" i="1"/>
  <c r="AB201" i="1" s="1"/>
  <c r="A200" i="1"/>
  <c r="AB200" i="1" s="1"/>
  <c r="A199" i="1"/>
  <c r="AB199" i="1" s="1"/>
  <c r="A198" i="1"/>
  <c r="AB198" i="1" s="1"/>
  <c r="A197" i="1"/>
  <c r="AB197" i="1" s="1"/>
  <c r="A196" i="1"/>
  <c r="AB196" i="1" s="1"/>
  <c r="A195" i="1"/>
  <c r="AB195" i="1" s="1"/>
  <c r="A194" i="1"/>
  <c r="AB194" i="1" s="1"/>
  <c r="A193" i="1"/>
  <c r="AB193" i="1" s="1"/>
  <c r="A192" i="1"/>
  <c r="AB192" i="1" s="1"/>
  <c r="A191" i="1"/>
  <c r="AB191" i="1" s="1"/>
  <c r="A190" i="1"/>
  <c r="AB190" i="1" s="1"/>
  <c r="A189" i="1"/>
  <c r="AB189" i="1" s="1"/>
  <c r="A188" i="1"/>
  <c r="AB188" i="1" s="1"/>
  <c r="A187" i="1"/>
  <c r="AB187" i="1" s="1"/>
  <c r="A186" i="1"/>
  <c r="AB186" i="1" s="1"/>
  <c r="A185" i="1"/>
  <c r="AB185" i="1" s="1"/>
  <c r="A184" i="1"/>
  <c r="AB184" i="1" s="1"/>
  <c r="A183" i="1"/>
  <c r="AB183" i="1" s="1"/>
  <c r="A182" i="1"/>
  <c r="AB182" i="1" s="1"/>
  <c r="A181" i="1"/>
  <c r="AB181" i="1" s="1"/>
  <c r="A180" i="1"/>
  <c r="AB180" i="1" s="1"/>
  <c r="A179" i="1"/>
  <c r="AB179" i="1" s="1"/>
  <c r="A178" i="1"/>
  <c r="AB178" i="1" s="1"/>
  <c r="A177" i="1"/>
  <c r="AB177" i="1" s="1"/>
  <c r="AB176" i="1"/>
  <c r="A175" i="1"/>
  <c r="AB175" i="1"/>
  <c r="A174" i="1"/>
  <c r="AB174" i="1"/>
  <c r="A173" i="1"/>
  <c r="AB173" i="1"/>
  <c r="A172" i="1"/>
  <c r="AB172" i="1"/>
  <c r="A171" i="1"/>
  <c r="AB171" i="1"/>
  <c r="AB170" i="1"/>
  <c r="AB169" i="1"/>
  <c r="AB168" i="1"/>
  <c r="AB167" i="1"/>
  <c r="AB166" i="1"/>
  <c r="AB165" i="1"/>
  <c r="AB164" i="1"/>
  <c r="AB163" i="1"/>
  <c r="AB162" i="1"/>
  <c r="AB161" i="1"/>
  <c r="AB160" i="1"/>
  <c r="AB159" i="1"/>
  <c r="AB158" i="1"/>
  <c r="AB157" i="1"/>
  <c r="AB156" i="1"/>
  <c r="AB155" i="1"/>
  <c r="AB154" i="1"/>
  <c r="AB153" i="1"/>
  <c r="A152" i="1"/>
  <c r="AB152" i="1"/>
  <c r="A132" i="1"/>
  <c r="AB132" i="1"/>
  <c r="A131" i="1"/>
  <c r="AB131" i="1"/>
  <c r="A130" i="1"/>
  <c r="AB130" i="1"/>
  <c r="A129" i="1"/>
  <c r="AB129" i="1"/>
  <c r="A128" i="1"/>
  <c r="AB128" i="1"/>
  <c r="A127" i="1"/>
  <c r="AB127" i="1"/>
  <c r="A126" i="1"/>
  <c r="AB126" i="1"/>
  <c r="A125" i="1"/>
  <c r="AB125" i="1"/>
  <c r="A124" i="1"/>
  <c r="AB124" i="1"/>
  <c r="A123" i="1"/>
  <c r="AB123" i="1"/>
  <c r="A122" i="1"/>
  <c r="AB122" i="1"/>
  <c r="A121" i="1"/>
  <c r="AB121" i="1"/>
  <c r="A120" i="1"/>
  <c r="AB120" i="1"/>
  <c r="A119" i="1"/>
  <c r="AB119" i="1"/>
  <c r="A118" i="1"/>
  <c r="AB118" i="1"/>
  <c r="A117" i="1"/>
  <c r="AB117" i="1"/>
  <c r="A116" i="1"/>
  <c r="AB116" i="1"/>
  <c r="A115" i="1"/>
  <c r="AB115" i="1"/>
  <c r="A114" i="1"/>
  <c r="AB114" i="1"/>
  <c r="A113" i="1"/>
  <c r="AB113" i="1"/>
  <c r="A112" i="1"/>
  <c r="AB112" i="1"/>
  <c r="A111" i="1"/>
  <c r="AB111" i="1"/>
  <c r="A110" i="1"/>
  <c r="AB110" i="1"/>
  <c r="A109" i="1"/>
  <c r="AB109" i="1"/>
  <c r="A108" i="1"/>
  <c r="AB108" i="1"/>
  <c r="A107" i="1"/>
  <c r="AB107" i="1"/>
  <c r="A106" i="1"/>
  <c r="AB106" i="1"/>
  <c r="A105" i="1"/>
  <c r="AB105" i="1"/>
  <c r="A104" i="1"/>
  <c r="AB104" i="1"/>
  <c r="A103" i="1"/>
  <c r="AB103" i="1"/>
  <c r="A102" i="1"/>
  <c r="AB102" i="1"/>
  <c r="A101" i="1"/>
  <c r="AB101" i="1"/>
  <c r="A100" i="1"/>
  <c r="AB100" i="1"/>
  <c r="A99" i="1"/>
  <c r="AB99" i="1"/>
  <c r="A98" i="1"/>
  <c r="AB98" i="1"/>
  <c r="A97" i="1"/>
  <c r="AB97" i="1"/>
  <c r="A96" i="1"/>
  <c r="AB96" i="1"/>
  <c r="A95" i="1"/>
  <c r="AB95" i="1"/>
  <c r="A94" i="1"/>
  <c r="AB94" i="1"/>
  <c r="A93" i="1"/>
  <c r="AB93" i="1"/>
  <c r="A92" i="1"/>
  <c r="AB92" i="1"/>
  <c r="A91" i="1"/>
  <c r="AB91" i="1"/>
  <c r="A90" i="1"/>
  <c r="AB90" i="1"/>
  <c r="A89" i="1"/>
  <c r="AB89" i="1"/>
  <c r="A88" i="1"/>
  <c r="AB88" i="1"/>
  <c r="A87" i="1"/>
  <c r="AB87" i="1"/>
  <c r="A86" i="1"/>
  <c r="AB86" i="1"/>
  <c r="A85" i="1"/>
  <c r="AB85" i="1"/>
  <c r="A84" i="1"/>
  <c r="AB84" i="1"/>
  <c r="A83" i="1"/>
  <c r="AB83" i="1"/>
  <c r="A82" i="1"/>
  <c r="AB82" i="1"/>
  <c r="A81" i="1"/>
  <c r="AB81" i="1"/>
  <c r="A80" i="1"/>
  <c r="AB80" i="1"/>
  <c r="A79" i="1"/>
  <c r="AB79" i="1"/>
  <c r="A78" i="1"/>
  <c r="AB78" i="1"/>
  <c r="A77" i="1"/>
  <c r="AB77" i="1"/>
  <c r="A76" i="1"/>
  <c r="AB76" i="1"/>
  <c r="A75" i="1"/>
  <c r="AB75" i="1"/>
  <c r="A74" i="1"/>
  <c r="AB74" i="1"/>
  <c r="A73" i="1"/>
  <c r="AB73" i="1"/>
  <c r="A72" i="1"/>
  <c r="AB72" i="1"/>
  <c r="A71" i="1"/>
  <c r="AB71" i="1"/>
  <c r="A70" i="1"/>
  <c r="AB70" i="1"/>
  <c r="A69" i="1"/>
  <c r="AB69" i="1"/>
  <c r="A68" i="1"/>
  <c r="AB68" i="1"/>
  <c r="A67" i="1"/>
  <c r="AB67" i="1"/>
  <c r="A66" i="1"/>
  <c r="AB66" i="1"/>
  <c r="A65" i="1"/>
  <c r="AB65" i="1"/>
  <c r="A64" i="1"/>
  <c r="AB64" i="1"/>
  <c r="A63" i="1"/>
  <c r="AB63" i="1"/>
  <c r="A62" i="1"/>
  <c r="AB62" i="1"/>
  <c r="A61" i="1"/>
  <c r="AB61" i="1"/>
  <c r="A60" i="1"/>
  <c r="AB60" i="1"/>
  <c r="A59" i="1"/>
  <c r="AB59" i="1"/>
  <c r="A58" i="1"/>
  <c r="AB58" i="1"/>
  <c r="AB57" i="1"/>
  <c r="AB56" i="1"/>
  <c r="AB55" i="1"/>
  <c r="AB54" i="1"/>
  <c r="AB53" i="1"/>
  <c r="AB52" i="1"/>
  <c r="AB51" i="1"/>
  <c r="AB50" i="1"/>
  <c r="AB49" i="1"/>
  <c r="AB48" i="1"/>
  <c r="A47" i="1"/>
  <c r="AB47" i="1"/>
  <c r="A46" i="1"/>
  <c r="AB46" i="1"/>
  <c r="A45" i="1"/>
  <c r="AB45" i="1"/>
  <c r="A44" i="1"/>
  <c r="AB44" i="1"/>
  <c r="A43" i="1"/>
  <c r="AB43" i="1"/>
  <c r="A42" i="1"/>
  <c r="AB42" i="1"/>
  <c r="A41" i="1"/>
  <c r="AB41" i="1"/>
  <c r="A40" i="1"/>
  <c r="AB40" i="1"/>
  <c r="A39" i="1"/>
  <c r="AB39" i="1"/>
  <c r="A38" i="1"/>
  <c r="AB38" i="1"/>
  <c r="A37" i="1"/>
  <c r="AB37" i="1"/>
  <c r="A36" i="1"/>
  <c r="AB36" i="1"/>
  <c r="A35" i="1"/>
  <c r="AB35" i="1"/>
  <c r="A34" i="1"/>
  <c r="AB34" i="1"/>
  <c r="A33" i="1"/>
  <c r="AB33" i="1"/>
  <c r="A32" i="1"/>
  <c r="AB32" i="1"/>
  <c r="A31" i="1"/>
  <c r="AB31" i="1"/>
  <c r="A30" i="1"/>
  <c r="AB30" i="1"/>
  <c r="A29" i="1"/>
  <c r="AB29" i="1"/>
  <c r="A28" i="1"/>
  <c r="AB28" i="1"/>
  <c r="A27" i="1"/>
  <c r="AB27" i="1"/>
  <c r="A26" i="1"/>
  <c r="AB26" i="1"/>
  <c r="A25" i="1"/>
  <c r="AB25" i="1"/>
  <c r="A24" i="1"/>
  <c r="AB24" i="1"/>
  <c r="A23" i="1"/>
  <c r="AB23" i="1"/>
  <c r="A22" i="1"/>
  <c r="AB22" i="1"/>
  <c r="A21" i="1"/>
  <c r="AB21" i="1"/>
  <c r="A20" i="1"/>
  <c r="AB20" i="1"/>
  <c r="A19" i="1"/>
  <c r="AB19" i="1"/>
  <c r="A18" i="1"/>
  <c r="AB18" i="1"/>
  <c r="A17" i="1"/>
  <c r="AB17" i="1"/>
  <c r="A16" i="1"/>
  <c r="AB16" i="1"/>
  <c r="A15" i="1"/>
  <c r="AB15" i="1"/>
  <c r="A14" i="1"/>
  <c r="AB14" i="1"/>
  <c r="A13" i="1"/>
  <c r="AB13" i="1"/>
  <c r="A12" i="1"/>
  <c r="AB12" i="1"/>
  <c r="A11" i="1"/>
  <c r="AB11" i="1"/>
  <c r="A10" i="1"/>
  <c r="AB10" i="1"/>
  <c r="A9" i="1"/>
  <c r="AB9" i="1"/>
  <c r="A8" i="1"/>
  <c r="AB8" i="1"/>
  <c r="A7" i="1"/>
  <c r="AB7" i="1"/>
  <c r="A6" i="1"/>
  <c r="AB6" i="1"/>
  <c r="A5" i="1"/>
  <c r="AB5" i="1"/>
  <c r="A4" i="1"/>
  <c r="AB4" i="1"/>
  <c r="A3" i="1"/>
  <c r="AB3" i="1"/>
  <c r="A2" i="1"/>
  <c r="AB2" i="1"/>
</calcChain>
</file>

<file path=xl/sharedStrings.xml><?xml version="1.0" encoding="utf-8"?>
<sst xmlns="http://schemas.openxmlformats.org/spreadsheetml/2006/main" count="7098" uniqueCount="896">
  <si>
    <t>&amp;</t>
  </si>
  <si>
    <t>PRODUCTO</t>
  </si>
  <si>
    <t>REFERENCIA DOCUMENTO</t>
  </si>
  <si>
    <t>PA</t>
  </si>
  <si>
    <t>EXPEDIENTE</t>
  </si>
  <si>
    <t>DOCUMENTO</t>
  </si>
  <si>
    <t>VIGENCIA VO.BO</t>
  </si>
  <si>
    <t>VO.BO</t>
  </si>
  <si>
    <t>PROVEEDOR</t>
  </si>
  <si>
    <t>VALOR UNIT</t>
  </si>
  <si>
    <t>MONEDA</t>
  </si>
  <si>
    <t>P.O</t>
  </si>
  <si>
    <t>U COMERCIAL</t>
  </si>
  <si>
    <t>DO RIM CIMA</t>
  </si>
  <si>
    <t>NO RADICADO VUCE</t>
  </si>
  <si>
    <t>REGISTRO APROBADO</t>
  </si>
  <si>
    <t>APROBACION</t>
  </si>
  <si>
    <t>VIGENCIA</t>
  </si>
  <si>
    <t>F. SOLICITUD RIM ENVIADA AR</t>
  </si>
  <si>
    <t>F. FINALIZACION REVISION RIM AR</t>
  </si>
  <si>
    <t>F. RADICACION RIM VUCE</t>
  </si>
  <si>
    <t>REQUERIMIENTO - ENTIDAD</t>
  </si>
  <si>
    <t>RAZON REQUERIMIENTO</t>
  </si>
  <si>
    <t>NEGACION</t>
  </si>
  <si>
    <t>RAZON NEGACON</t>
  </si>
  <si>
    <t>OBSERVACION PARA SIACO</t>
  </si>
  <si>
    <t>RIM EN DRIVE</t>
  </si>
  <si>
    <t>RIM NUEVO</t>
  </si>
  <si>
    <t>RIM  IMPULSADO NUEVO</t>
  </si>
  <si>
    <t>DO PROD NACIONALIZADOS</t>
  </si>
  <si>
    <t>PROD NACIONALIZADOS</t>
  </si>
  <si>
    <t>16-102</t>
  </si>
  <si>
    <t>N/A</t>
  </si>
  <si>
    <t>OFI17-0014196-SCF-3310
CERTIFICADO 12466893</t>
  </si>
  <si>
    <t>MINJUSTICIA/ANLA</t>
  </si>
  <si>
    <t>3M COMPANY</t>
  </si>
  <si>
    <t>USD</t>
  </si>
  <si>
    <t>US</t>
  </si>
  <si>
    <t>UNIDADES</t>
  </si>
  <si>
    <t>TML-I-0169978-20260626</t>
  </si>
  <si>
    <t>LIC-40015517-20260630N</t>
  </si>
  <si>
    <t>NO</t>
  </si>
  <si>
    <t>RIM RADICADO NUEVAMENTE DO 2679068</t>
  </si>
  <si>
    <t>SI</t>
  </si>
  <si>
    <t>5H</t>
  </si>
  <si>
    <t>INVIMA</t>
  </si>
  <si>
    <t>UNIDAD</t>
  </si>
  <si>
    <t>TMR-I-0075374-20260319</t>
  </si>
  <si>
    <t>REG-50061250-20260330N</t>
  </si>
  <si>
    <t>SI - INVIMA</t>
  </si>
  <si>
    <t>CON LA FINALIDAD DE DAR CLARIDAD Y CONTINUIDAD AL TRÁMITE, SE LE SOLICITA: ALLEGAR CERTIFICADO DE NO REQUIERE No. 2014016916 EXPEDIDO POR EL INVIMA, INDICADO EN LA SOLICITUD DE IMPORTACION.</t>
  </si>
  <si>
    <t>RIM RADICADO NUEVAMENTE DO 2670812</t>
  </si>
  <si>
    <t>_482025000211349</t>
  </si>
  <si>
    <t>XA009224990</t>
  </si>
  <si>
    <t>50AN</t>
  </si>
  <si>
    <t>38314,99</t>
  </si>
  <si>
    <t>30815,68</t>
  </si>
  <si>
    <t>_032025000855823</t>
  </si>
  <si>
    <t>1357,98</t>
  </si>
  <si>
    <t>116,83</t>
  </si>
  <si>
    <t xml:space="preserve"> US,CN  </t>
  </si>
  <si>
    <t>2197,87</t>
  </si>
  <si>
    <t xml:space="preserve"> US </t>
  </si>
  <si>
    <t>390G</t>
  </si>
  <si>
    <t>2173,39</t>
  </si>
  <si>
    <t>214,67</t>
  </si>
  <si>
    <t>OPTICLUDE PARCHE OCULAR 1539</t>
  </si>
  <si>
    <t>2022DM-0025727</t>
  </si>
  <si>
    <t>3M CANADA COMPANY</t>
  </si>
  <si>
    <t>CA</t>
  </si>
  <si>
    <t>TMR-I-0085006-20260331</t>
  </si>
  <si>
    <t>REG-50063553-20260406N</t>
  </si>
  <si>
    <t>RIM RADICADO NUEVAMENTE DO 2680425</t>
  </si>
  <si>
    <t>_482025000346250</t>
  </si>
  <si>
    <t>OPTICLUDE PARCHE OCULAR 1537</t>
  </si>
  <si>
    <t>3M? MEDIPORE? H CINTA QUIRÚRGICA DE TELA SUAVE: 2866S</t>
  </si>
  <si>
    <t>2016DM-0015050</t>
  </si>
  <si>
    <t>M2</t>
  </si>
  <si>
    <t>TMR-I-0082114-20260327</t>
  </si>
  <si>
    <t>REG-50064986-20260407N</t>
  </si>
  <si>
    <t>UU009026848</t>
  </si>
  <si>
    <t>3M CUROS DISINFECTING CAPS FOR NEEDLELESS CONNECTORS CFF1-270R</t>
  </si>
  <si>
    <t>2016DM-0014494
OFI16-0012845-SCF-3310</t>
  </si>
  <si>
    <t>INVIMA/MINJUSTICIA/ANLA</t>
  </si>
  <si>
    <t>3M EMEA GMBH</t>
  </si>
  <si>
    <t>US, PL</t>
  </si>
  <si>
    <t>CAJA</t>
  </si>
  <si>
    <t>TMR-I-0046900-20260219</t>
  </si>
  <si>
    <t>REG-50065936-20260408N</t>
  </si>
  <si>
    <t>SI - MINJUSTICIA</t>
  </si>
  <si>
    <t>SEÑOR IMPORTADOR, SE HACE NECESARIO QUE ADJUNTE LA FICHA/HOJA DE SEGURIDAD, EN DONDE SE EVIDENCIE EL 100% DE LA COMPOSICIÓN DEL PRODUCTO. Y EN CASO QUE CORRESPONDA, EL CONCEPTO TÉCNICO EMITIDO POR EL MINISTERIO DE JUSTICIA Y DEL DERECHO PARA AQUELLOS PRODUCTOS QUE EN SU COMPOSICIÓN CONTENGAN SUSTANCIAS CONTROLADAS, TAL Y COMO LO INDICA LA RESOLUCIÓN 0001 DE 2015. TENGA PRESENTE QUE, EN EL CONCEPTO ALLEGADO, NO SE EVIDENCIA LA REFERENCIA DE SU SOLICITUD.
20/03  SEÑOR IMPORTADOR. ACLARAR POR QUÉ LA REFERENCIA DE LA SOLICITUD, EL CONCEPTO Y LA FICHA SON DIFERENTES.</t>
  </si>
  <si>
    <t>NO SE RENUEVA. PRODUCTO SOLVENTUM</t>
  </si>
  <si>
    <t>HC000675864</t>
  </si>
  <si>
    <t>2016DM-0014312</t>
  </si>
  <si>
    <t>3M DO BRASIL LTDA</t>
  </si>
  <si>
    <t>BR</t>
  </si>
  <si>
    <t>ROLLO</t>
  </si>
  <si>
    <t>TMR-I-0083916-20260330</t>
  </si>
  <si>
    <t>REG-50066356-20260408N</t>
  </si>
  <si>
    <t>RIM RADICADO NUEVAMENTE DO 2680563</t>
  </si>
  <si>
    <t>_482025000586030</t>
  </si>
  <si>
    <t>HC000675856</t>
  </si>
  <si>
    <t>_482025000230909</t>
  </si>
  <si>
    <t>HC000676037</t>
  </si>
  <si>
    <t>_482025000230905</t>
  </si>
  <si>
    <t>HB004276067</t>
  </si>
  <si>
    <t>CLICHE</t>
  </si>
  <si>
    <t>CERTIFICADO PROTECCIÓN CAPA DE OZONO</t>
  </si>
  <si>
    <t>ANLA</t>
  </si>
  <si>
    <t xml:space="preserve"> BR </t>
  </si>
  <si>
    <t>TMR-I-0084738-20260330</t>
  </si>
  <si>
    <t>REG-50065677-20260408N</t>
  </si>
  <si>
    <t>RIM RADICADO NUEVAMENTE DO 2689581</t>
  </si>
  <si>
    <t>_482025000297238</t>
  </si>
  <si>
    <t>CC-2</t>
  </si>
  <si>
    <t>FICHA TECNICA
FICHA SEGURIDAD</t>
  </si>
  <si>
    <t>SET</t>
  </si>
  <si>
    <t>TML-I-0179422-20260707</t>
  </si>
  <si>
    <t>LIC-40016437-20260709N</t>
  </si>
  <si>
    <t>RIM RADICADO NUEVAMENTE DO 2684431</t>
  </si>
  <si>
    <t>_032025000696013</t>
  </si>
  <si>
    <t>CARTA EXCEPCION</t>
  </si>
  <si>
    <t>RETIE</t>
  </si>
  <si>
    <t>SIAT S.P.A</t>
  </si>
  <si>
    <t>EUR</t>
  </si>
  <si>
    <t>IT</t>
  </si>
  <si>
    <t>TMR-I-0248537-20250929</t>
  </si>
  <si>
    <t>REG-50189513-20251010N</t>
  </si>
  <si>
    <t>OPERACION ESPECIFICA</t>
  </si>
  <si>
    <t>_032025001723418</t>
  </si>
  <si>
    <t>_032025001723411</t>
  </si>
  <si>
    <t>4411-A</t>
  </si>
  <si>
    <t>NO TIENE SUSTANCIAS QUE AGOTAN LA CAPA DE OZONO</t>
  </si>
  <si>
    <t>TMR-I-0092673-20260409</t>
  </si>
  <si>
    <t>REG-50069972-20260413N</t>
  </si>
  <si>
    <t>RIM RADICADO NUEVAMENTE DO 2680674</t>
  </si>
  <si>
    <t>_032025000703153</t>
  </si>
  <si>
    <t>2131B</t>
  </si>
  <si>
    <t>_482025000436111</t>
  </si>
  <si>
    <t>UU009472471</t>
  </si>
  <si>
    <t>TEMFLEX 165 NEGRO</t>
  </si>
  <si>
    <t>RETIE/ MINCOMERCIO (OK CERT. MERCURIO)</t>
  </si>
  <si>
    <t>PL</t>
  </si>
  <si>
    <t>TMR-I-0097511-20260414</t>
  </si>
  <si>
    <t>REG-50073140-20260416N</t>
  </si>
  <si>
    <t>RIM RADICADO NUEVAMENTE DO 2680682</t>
  </si>
  <si>
    <t>_482025000346692</t>
  </si>
  <si>
    <t>XX100092426</t>
  </si>
  <si>
    <t>RELEASE KB 100</t>
  </si>
  <si>
    <t>3909500000</t>
  </si>
  <si>
    <t>ICHEMCO SRL</t>
  </si>
  <si>
    <t>KG</t>
  </si>
  <si>
    <t>TMR-I-0097932-20260415</t>
  </si>
  <si>
    <t>REG-50073866-20260418N</t>
  </si>
  <si>
    <t>RIM RADICADO NUEVAMENTE DO 2682799</t>
  </si>
  <si>
    <t>_032025001101640</t>
  </si>
  <si>
    <t>HB004828834</t>
  </si>
  <si>
    <t>HOJA DE SEGURIDAD</t>
  </si>
  <si>
    <t>BOTELLAS</t>
  </si>
  <si>
    <t>TMR-I-0097301-20260414</t>
  </si>
  <si>
    <t>REG-50073907-20260419N</t>
  </si>
  <si>
    <t>RIM RADICADO NUEVAMENTE 2682825</t>
  </si>
  <si>
    <t>FICHA DE SEGURIDAD
MJD-OFI25-0034953-GCSQ-30321</t>
  </si>
  <si>
    <t>MINJUSTICIA</t>
  </si>
  <si>
    <t>GALON</t>
  </si>
  <si>
    <t>TMR-I-0100383-20260416</t>
  </si>
  <si>
    <t>REG-50076142-20260421N</t>
  </si>
  <si>
    <t>20/04 SEÑOR IMPORTADOR, DEBE ADJUNTAR EL CONCEPTO TÉCNICO EMITIDO POR EL MINISTERIO DE JUSTICIA Y DEL DERECHO YA QUE CONTIENE SUSTANCIAS CONTROLADAS.</t>
  </si>
  <si>
    <t>RIM RADICADO NUEVAMENTE DO 2662338 - NEGADO</t>
  </si>
  <si>
    <t>CARTA SGC</t>
  </si>
  <si>
    <t>SGC</t>
  </si>
  <si>
    <t>TMR-I-0106010-20260422</t>
  </si>
  <si>
    <t>REG-50078681-20260423N</t>
  </si>
  <si>
    <t>RIM RADICADO NUEVAMENTE DO 2666636</t>
  </si>
  <si>
    <t xml:space="preserve">24H 3M 3 IN 1 FLOOR CLEANER CONCENTRATE (Product No.24 Twist n fill System) </t>
  </si>
  <si>
    <t>Declaracion de conformidad No P 2 / 4 009
Certificado de analisis de contenido de fosforo y biodegrabilidad COD 165094
Analquim Ltda Requerimiento Tecnico Analquim Ltda. No. ANQ-2062-18
LOTE: 127805</t>
  </si>
  <si>
    <t>ANLA RT JABONES</t>
  </si>
  <si>
    <t>TMR-I-0107617-20260423</t>
  </si>
  <si>
    <t>REG-50079016-20260424N</t>
  </si>
  <si>
    <t>RIM RADICADO NUEVAMENTE DO 2684472</t>
  </si>
  <si>
    <t>_482025000412321</t>
  </si>
  <si>
    <t>35H</t>
  </si>
  <si>
    <t>DECLARACION P 2 / 3 DE CONFORMIDAD 025
CERTIFICADO DE ANALISIS DE CONTENIDO DE FOSFORO Y BIODEGRABILIDAD COD 210085 ANALQUIM LTDA
LOTE: P3230006</t>
  </si>
  <si>
    <t>_482025000467759</t>
  </si>
  <si>
    <t>30-NF</t>
  </si>
  <si>
    <t>TMR-I-0116555-20260504</t>
  </si>
  <si>
    <t>REG-50086702-20260505N</t>
  </si>
  <si>
    <t>OFI15-0013420-SCF-3310
CERTIFICADO 12466893</t>
  </si>
  <si>
    <t>MINJUSTICIA/ANLA/LICENCIA PREVIA</t>
  </si>
  <si>
    <t>TML-I-0206448-20260804</t>
  </si>
  <si>
    <t>LIC-40018696-20260806N</t>
  </si>
  <si>
    <t>LIC RADICADA NUEVAMENTE 2695192</t>
  </si>
  <si>
    <t>QTIII 7666-S-8</t>
  </si>
  <si>
    <t>TMR-I-0118353-20260505</t>
  </si>
  <si>
    <t>REG-50088557-20260507N</t>
  </si>
  <si>
    <t>RIM RADICADO NUEVAMENTE DO 2669581</t>
  </si>
  <si>
    <t>QTIII 7664-S-8</t>
  </si>
  <si>
    <t>QTIII 7621-S-2</t>
  </si>
  <si>
    <t>XX100024544</t>
  </si>
  <si>
    <t>MEDMIX SWITZERLAND</t>
  </si>
  <si>
    <t>CHF</t>
  </si>
  <si>
    <t xml:space="preserve"> GB </t>
  </si>
  <si>
    <t>TMR-I-0123242-20260509</t>
  </si>
  <si>
    <t>REG-50090904-20260512N</t>
  </si>
  <si>
    <t>RIM RADICADO NUEVAMENTE DO 2695159</t>
  </si>
  <si>
    <t>_032025001333034</t>
  </si>
  <si>
    <t>4106SP-10-6 PF</t>
  </si>
  <si>
    <t>NSOH08941-20CO</t>
  </si>
  <si>
    <t>TMR-I-0118104-20260505</t>
  </si>
  <si>
    <t>REG-50090995-20260512N</t>
  </si>
  <si>
    <t>RIM RADICADO NUEVAMENTE DO 2695164</t>
  </si>
  <si>
    <t>_482025000424841</t>
  </si>
  <si>
    <t>LUDWIG WUNKHAUS EXPORT COMPANIA LIMITADA</t>
  </si>
  <si>
    <t>CL</t>
  </si>
  <si>
    <t>TMR-I-0122302-20260508</t>
  </si>
  <si>
    <t>REG-50090962-20260512N</t>
  </si>
  <si>
    <t>RIM RADICADO NUEVAMENTE DO 2670527</t>
  </si>
  <si>
    <t>XC003828792</t>
  </si>
  <si>
    <t>EXP LRSM 1005</t>
  </si>
  <si>
    <t>3822190000</t>
  </si>
  <si>
    <t>NO REQUIERE VISTO BUENO DE INVIMA YA QUE SE UTILIZA COMO TIRA DE PAPEL REACTIVO PRODUCTO DISENADO PARA DETERMINAR EL NIVEL DE DEGRADACION POR USO REPETITIVO DE ACEITES GRASOS EN EL SECTOR INDUSTRIAL. NO PUEDE SER USADO EN LABORATORIO CLINICO PARA DIAGNOSTICO EN HUMANOS</t>
  </si>
  <si>
    <t>3M CHINA LIMITED</t>
  </si>
  <si>
    <t>CN</t>
  </si>
  <si>
    <t>TMR-I-0125303-20260512</t>
  </si>
  <si>
    <t>REG-50092930-20260513N</t>
  </si>
  <si>
    <t xml:space="preserve">RIM RADICADO NUEVAMENTE DO 2697512 </t>
  </si>
  <si>
    <t>_032025000527135</t>
  </si>
  <si>
    <t>SCOTCH 27</t>
  </si>
  <si>
    <t>TMR-I-0125607-20260512</t>
  </si>
  <si>
    <t>REG-50093232-20260514N</t>
  </si>
  <si>
    <t>QTIII 7622-S-2</t>
  </si>
  <si>
    <t>QTIII 7621-T-95</t>
  </si>
  <si>
    <t>UNDADES</t>
  </si>
  <si>
    <t>TML-I-0215790-20260813</t>
  </si>
  <si>
    <t>LIC-40019662-20260819N</t>
  </si>
  <si>
    <t>RIM RADICADO NUEVAMENTE DO 2697515</t>
  </si>
  <si>
    <t>XA009228470ANHUI CHARDON ELECTRIC LIMITED</t>
  </si>
  <si>
    <t>XA009228470</t>
  </si>
  <si>
    <t>24-RDT630</t>
  </si>
  <si>
    <t>8535909000</t>
  </si>
  <si>
    <t>ANHUI CHARDON ELECTRIC LIMITED</t>
  </si>
  <si>
    <t>TMR-I-0131039-20260519</t>
  </si>
  <si>
    <t>REG-50098267-20260521N</t>
  </si>
  <si>
    <t>RIM RADICADO NUEVAMENTE DO 2688402</t>
  </si>
  <si>
    <t>_032025001916778</t>
  </si>
  <si>
    <t>XA009228389ANHUI CHARDON ELECTRIC LIMITED</t>
  </si>
  <si>
    <t>XA009228389</t>
  </si>
  <si>
    <t>42-RDT1250</t>
  </si>
  <si>
    <t>XA009228405ANHUI CHARDON ELECTRIC LIMITED</t>
  </si>
  <si>
    <t>XA009228405</t>
  </si>
  <si>
    <t>SBC-B-500-630/3</t>
  </si>
  <si>
    <t>XA009227753ANHUI CHARDON ELECTRIC LIMITED</t>
  </si>
  <si>
    <t>XA009227753</t>
  </si>
  <si>
    <t>42-FDT1250</t>
  </si>
  <si>
    <t>XA009225450ANHUI CHARDON ELECTRIC LIMITED</t>
  </si>
  <si>
    <t>XA009225450</t>
  </si>
  <si>
    <t>SBC-B-300-400/3-AL</t>
  </si>
  <si>
    <t>XA009228454ANHUI CHARDON ELECTRIC LIMITED</t>
  </si>
  <si>
    <t>XA009228454</t>
  </si>
  <si>
    <t>24-FDT630</t>
  </si>
  <si>
    <t>XA009224586ANHUI CHARDON ELECTRIC LIMITED</t>
  </si>
  <si>
    <t>XA009224586</t>
  </si>
  <si>
    <t>SBC-B-70-95/1-AL</t>
  </si>
  <si>
    <t>_032025000809168</t>
  </si>
  <si>
    <t>XA009225393ANHUI CHARDON ELECTRIC LIMITED</t>
  </si>
  <si>
    <t>XA009225393</t>
  </si>
  <si>
    <t>36-ADP-LG</t>
  </si>
  <si>
    <t>_032025001913449</t>
  </si>
  <si>
    <t>XA009225419ANHUI CHARDON ELECTRIC LIMITED</t>
  </si>
  <si>
    <t>XA009225419</t>
  </si>
  <si>
    <t>36-ADP-LJ</t>
  </si>
  <si>
    <t>XA009225427ANHUI CHARDON ELECTRIC LIMITED</t>
  </si>
  <si>
    <t>XA009225427</t>
  </si>
  <si>
    <t>36-ADP-LI</t>
  </si>
  <si>
    <t>XA009225401</t>
  </si>
  <si>
    <t>36-ADP-LH</t>
  </si>
  <si>
    <t>XA009225377</t>
  </si>
  <si>
    <t>36-ADP-LF</t>
  </si>
  <si>
    <t>XA009228512</t>
  </si>
  <si>
    <t>24-ADP-D</t>
  </si>
  <si>
    <t>XA009228504</t>
  </si>
  <si>
    <t>24-ADP-C</t>
  </si>
  <si>
    <t>XA009228496</t>
  </si>
  <si>
    <t>24-ADP-B</t>
  </si>
  <si>
    <t>XA009228488</t>
  </si>
  <si>
    <t>24-ADP-A</t>
  </si>
  <si>
    <t>XA009228710</t>
  </si>
  <si>
    <t>42-ADP-U</t>
  </si>
  <si>
    <t>XA009228397</t>
  </si>
  <si>
    <t>42-ADP-T</t>
  </si>
  <si>
    <t>XA009227779</t>
  </si>
  <si>
    <t>42-ADP-S</t>
  </si>
  <si>
    <t>XA009228694</t>
  </si>
  <si>
    <t>42-ADP-P</t>
  </si>
  <si>
    <t>XA009228686</t>
  </si>
  <si>
    <t>42-ADP-N</t>
  </si>
  <si>
    <t>XA009227761</t>
  </si>
  <si>
    <t>42-ADP-M</t>
  </si>
  <si>
    <t>XA009228678</t>
  </si>
  <si>
    <t>42-ADP-L</t>
  </si>
  <si>
    <t>XA009228660</t>
  </si>
  <si>
    <t>42-ADP-K</t>
  </si>
  <si>
    <t>XA009229437</t>
  </si>
  <si>
    <t>24-CE250T/24-CL250/24-CL250T</t>
  </si>
  <si>
    <t>288.09</t>
  </si>
  <si>
    <t>CN,MX</t>
  </si>
  <si>
    <t>XA009225435</t>
  </si>
  <si>
    <t>36-ADP-LK</t>
  </si>
  <si>
    <t>117.38</t>
  </si>
  <si>
    <t>XA009225385</t>
  </si>
  <si>
    <t>36-ADP-LE</t>
  </si>
  <si>
    <t>123.58</t>
  </si>
  <si>
    <t>XA009225351</t>
  </si>
  <si>
    <t>36-ADP-LD</t>
  </si>
  <si>
    <t>115.70</t>
  </si>
  <si>
    <t>XA009225344</t>
  </si>
  <si>
    <t>36-ADP-LC</t>
  </si>
  <si>
    <t>107.64</t>
  </si>
  <si>
    <t>XA009225336</t>
  </si>
  <si>
    <t>36-ADP-LB</t>
  </si>
  <si>
    <t>XA009229569</t>
  </si>
  <si>
    <t>24-LRDT630</t>
  </si>
  <si>
    <t>706.53</t>
  </si>
  <si>
    <t>XA009229510</t>
  </si>
  <si>
    <t>24-LFDT630</t>
  </si>
  <si>
    <t>643.21</t>
  </si>
  <si>
    <t>XA009229387</t>
  </si>
  <si>
    <t>24-ADP-E/24-ADP-LG/24-ADP-LH/36-ADP-LA</t>
  </si>
  <si>
    <t>47.79</t>
  </si>
  <si>
    <t>XA009228728</t>
  </si>
  <si>
    <t>42-ADP-V</t>
  </si>
  <si>
    <t>178.73</t>
  </si>
  <si>
    <t>XA009228702</t>
  </si>
  <si>
    <t>42-ADP-R</t>
  </si>
  <si>
    <t>XA009228736</t>
  </si>
  <si>
    <t>42-ADP-Q</t>
  </si>
  <si>
    <t>186.98</t>
  </si>
  <si>
    <t>XA009228652</t>
  </si>
  <si>
    <t>42-ADP-J</t>
  </si>
  <si>
    <t>195.23</t>
  </si>
  <si>
    <t>XA009228538</t>
  </si>
  <si>
    <t>42-ADP-H</t>
  </si>
  <si>
    <t>XA009228520</t>
  </si>
  <si>
    <t>42-ADP-G</t>
  </si>
  <si>
    <t>XA009229551</t>
  </si>
  <si>
    <t>SBC-B-500/3-AL</t>
  </si>
  <si>
    <t>433.13</t>
  </si>
  <si>
    <t>3M HEALTH CARE PARTICULATE RESPIRATOR AND SURGICAL MASK 1860 
RESPIRADOR QUIRÚRGICO 3M HEALTH CARE PARTICULATE RESPIRATOR AND SURGICAL MASK 1860S</t>
  </si>
  <si>
    <t>2018DM-0018000</t>
  </si>
  <si>
    <t>US,GB,SG</t>
  </si>
  <si>
    <t>TMR-I-0147180-20260602</t>
  </si>
  <si>
    <t>REG-50108460-20260603N</t>
  </si>
  <si>
    <t>TML-I-0249398-20260914</t>
  </si>
  <si>
    <t>LIC-40022644-20260917N</t>
  </si>
  <si>
    <t>TMR-I-0161666-20260618</t>
  </si>
  <si>
    <t>REG-50120226-20260622N</t>
  </si>
  <si>
    <t>RIM RADICADO NUEVAMENTE 2665570</t>
  </si>
  <si>
    <t>UU013138613</t>
  </si>
  <si>
    <t>BA-039-BR</t>
  </si>
  <si>
    <t>2026DM-0032275</t>
  </si>
  <si>
    <t>3M CHILE SA</t>
  </si>
  <si>
    <t>CL,KR</t>
  </si>
  <si>
    <t>TMR-I-0159409-20260616</t>
  </si>
  <si>
    <t>REG-50118454-20260618N</t>
  </si>
  <si>
    <t>_482025000633257</t>
  </si>
  <si>
    <t>HT002001309</t>
  </si>
  <si>
    <t>SCOTCH 23</t>
  </si>
  <si>
    <t>TMR-I-0163304-20260619</t>
  </si>
  <si>
    <t>REG-50121007-20260623N</t>
  </si>
  <si>
    <t>_032025000465726</t>
  </si>
  <si>
    <t>HC000592382</t>
  </si>
  <si>
    <t>TEMFLEX 2155</t>
  </si>
  <si>
    <t>_032025000465727</t>
  </si>
  <si>
    <t>HB004534226</t>
  </si>
  <si>
    <t>SCOTCH SUPER 33+</t>
  </si>
  <si>
    <t>0,71</t>
  </si>
  <si>
    <t>_032025000552902</t>
  </si>
  <si>
    <t>HT002000327</t>
  </si>
  <si>
    <t>SCOTCH 13</t>
  </si>
  <si>
    <t>_032025000553037</t>
  </si>
  <si>
    <t>3M SANITIZER</t>
  </si>
  <si>
    <t>3808949900</t>
  </si>
  <si>
    <t>NSOH07449-18CO
MJD-CIR24-0000017-GCSQ-30320
Declaracion de conformidad No 006 Certificado de analisis de contenido de fosforo y biodegrabilidad COD 163258/ Analquim Ltda Requerimiento
Tecnico Analquim Ltda. No. ANQ-1781- 18 / lote 157807 MFG 06/18</t>
  </si>
  <si>
    <t>INVIMA/ANLA/MINJUSTICIA</t>
  </si>
  <si>
    <t>TMR-I-0157531-20260612</t>
  </si>
  <si>
    <t>REG-50123833-20260625N</t>
  </si>
  <si>
    <t>_482025000261849</t>
  </si>
  <si>
    <t>XA009228769</t>
  </si>
  <si>
    <t>34-RDTA95-10</t>
  </si>
  <si>
    <t>CARTA SGC
2538</t>
  </si>
  <si>
    <t>N/A
29/01/2031</t>
  </si>
  <si>
    <t>RETIE/ MINCOMERCIO (OK CERT. MERCURIO)/SGC</t>
  </si>
  <si>
    <t>TMR-I-0165677-20260623</t>
  </si>
  <si>
    <t>REG-50124691-20260626N</t>
  </si>
  <si>
    <t>SI-SGC</t>
  </si>
  <si>
    <t>23/06 No se anexó ficha técnica ni de seguridad del producto sujeto de verificación para visto bueno. Debe anexarse la documentación que permita verificar si la mercancía bajo la subpartida 8535.40.10.00 contiene ó utiliza material radiactivo. Tambien se puede anexar certificado donde se declare la ausencia de material radiactivo en el producto sujeto de verificación. - PRODUCTO: DESCARGADOR DE SOBRETENSION (PARARRAYO)/ CONECTORES, BORNES, TERMINALES Y EMPALMES PARA CONDUCTORES DE CIRCUITOS ELÉCTRICOS, MARCA: 3M, MODELO: CONECTORES, , CODIGO DE PRODUCTO: XA009228751 -PRODUCTO: DESCARGADOR DE SOBRETENSION (PARARRAYO), PARA TENSION SUPERIOR A 1000 VOLTIOS/ CONECTORES, BORNES, TERMINALES Y EMPALMES PARA CONDUCTORES DE CIRCUITOS ELÉCTRICOS, MARCA: 3M, MODELO: CONECTORES, CODIGO DE PRODUCTO: XA009229601</t>
  </si>
  <si>
    <t>XA009228751</t>
  </si>
  <si>
    <t>34-RDTA85</t>
  </si>
  <si>
    <t>XA009229502</t>
  </si>
  <si>
    <t>51-RDTA134</t>
  </si>
  <si>
    <t>320.08</t>
  </si>
  <si>
    <t>XA009229601</t>
  </si>
  <si>
    <t>26-RDTA66</t>
  </si>
  <si>
    <t>116.98</t>
  </si>
  <si>
    <t>UU008932749</t>
  </si>
  <si>
    <t>NEXCARE HAPPY KIDS N0920AN</t>
  </si>
  <si>
    <t>2018DM-0018221</t>
  </si>
  <si>
    <t>1,31</t>
  </si>
  <si>
    <t>DE, PL</t>
  </si>
  <si>
    <t>CAJAS</t>
  </si>
  <si>
    <t>TMR-I-0165249-20260623</t>
  </si>
  <si>
    <t>REG-50126030-20260701N</t>
  </si>
  <si>
    <t>_482025000642609</t>
  </si>
  <si>
    <t>UU008932756</t>
  </si>
  <si>
    <t>NEXCARE HAPPY KIDS N0920MO</t>
  </si>
  <si>
    <t>1,21</t>
  </si>
  <si>
    <t>_482026000667819</t>
  </si>
  <si>
    <t>UU008932764</t>
  </si>
  <si>
    <t>NEXCARE HAPPY KIDS N0920PR</t>
  </si>
  <si>
    <t>DE,PL</t>
  </si>
  <si>
    <t>NO SE HA IMPORTADO</t>
  </si>
  <si>
    <t>UU011330675</t>
  </si>
  <si>
    <t>NEXCARE HAPPY KIDS: N3-20-2G</t>
  </si>
  <si>
    <t>1,17</t>
  </si>
  <si>
    <t>PAC</t>
  </si>
  <si>
    <t>UND COMERCIAL CAJA EN CIMA GENERA ERROR</t>
  </si>
  <si>
    <t>_482025000674577</t>
  </si>
  <si>
    <t>UU011330667</t>
  </si>
  <si>
    <t>NEXCARE HAPPY KIDS: N3-20-2B</t>
  </si>
  <si>
    <t>1,19</t>
  </si>
  <si>
    <t>288523
FICHA TECNICA
PTE RADICADO VITAL</t>
  </si>
  <si>
    <t>BOTELLA</t>
  </si>
  <si>
    <t>TMR-I-0175168-20260702</t>
  </si>
  <si>
    <t>REG-50128777-20260703N</t>
  </si>
  <si>
    <t>OK RADICADO ANLA VITAL</t>
  </si>
  <si>
    <t>OK CARTA SGC</t>
  </si>
  <si>
    <t>TMR-I-0180777-20260708</t>
  </si>
  <si>
    <t>REG-50133321-20260709N</t>
  </si>
  <si>
    <t xml:space="preserve">UU012177927 </t>
  </si>
  <si>
    <t>BA-024-BR</t>
  </si>
  <si>
    <t>3M TAIWAN LTD</t>
  </si>
  <si>
    <t>KR</t>
  </si>
  <si>
    <t>TMR-I-0173666-20260701</t>
  </si>
  <si>
    <t>REG-50128260-20260703N</t>
  </si>
  <si>
    <t>TMR-I-0184548-20260714</t>
  </si>
  <si>
    <t>REG-50140716-20260722N</t>
  </si>
  <si>
    <t>QTIII 7665-S-8</t>
  </si>
  <si>
    <t>SCOTCH 2229</t>
  </si>
  <si>
    <t>16,71</t>
  </si>
  <si>
    <t>SCOTCH 130C</t>
  </si>
  <si>
    <t>4,94</t>
  </si>
  <si>
    <t>SCOTCH 2510</t>
  </si>
  <si>
    <t>12,76</t>
  </si>
  <si>
    <t>1,16</t>
  </si>
  <si>
    <t>SCOTCH 35 ROJO</t>
  </si>
  <si>
    <t>1,59</t>
  </si>
  <si>
    <t>SCOTCH 35 AZUL</t>
  </si>
  <si>
    <t>1,5</t>
  </si>
  <si>
    <t>SCOTCH 35 MARRON</t>
  </si>
  <si>
    <t>1,1</t>
  </si>
  <si>
    <t>SCOTCH 35 AMARILLO</t>
  </si>
  <si>
    <t>1,53</t>
  </si>
  <si>
    <t>SCOTCH 35 BLANCO</t>
  </si>
  <si>
    <t>1,13</t>
  </si>
  <si>
    <t>SCOTCH 35 VIOLETA</t>
  </si>
  <si>
    <t>SCOTCH 35 NARANJA</t>
  </si>
  <si>
    <t>1,77</t>
  </si>
  <si>
    <t>SCOTCH 35 VERDE</t>
  </si>
  <si>
    <t>1,64</t>
  </si>
  <si>
    <t>1,46</t>
  </si>
  <si>
    <t>SCOTCH 70</t>
  </si>
  <si>
    <t>10,48</t>
  </si>
  <si>
    <t xml:space="preserve">US,CA </t>
  </si>
  <si>
    <t>80610033369LUDWIG WUNKHAUS EXPORT COMPANIA LIMITADA</t>
  </si>
  <si>
    <t>TMR-I-0184830-20260714</t>
  </si>
  <si>
    <t>REG-50141582-20260723N</t>
  </si>
  <si>
    <t>80610033278LUDWIG WUNKHAUS EXPORT COMPANIA LIMITADA</t>
  </si>
  <si>
    <t>11,42</t>
  </si>
  <si>
    <t>_032025000703261</t>
  </si>
  <si>
    <t>80610033328LUDWIG WUNKHAUS EXPORT COMPANIA LIMITADA</t>
  </si>
  <si>
    <t>6,82</t>
  </si>
  <si>
    <t>80610033435LUDWIG WUNKHAUS EXPORT COMPANIA LIMITADA</t>
  </si>
  <si>
    <t>41,91</t>
  </si>
  <si>
    <t>80610033062LUDWIG WUNKHAUS EXPORT COMPANIA LIMITADA</t>
  </si>
  <si>
    <t>4,8</t>
  </si>
  <si>
    <t>80610033377LUDWIG WUNKHAUS EXPORT COMPANIA LIMITADA</t>
  </si>
  <si>
    <t>11,21</t>
  </si>
  <si>
    <t>80610033047LUDWIG WUNKHAUS EXPORT COMPANIA LIMITADA</t>
  </si>
  <si>
    <t>10,54</t>
  </si>
  <si>
    <t>80610033401LUDWIG WUNKHAUS EXPORT COMPANIA LIMITADA</t>
  </si>
  <si>
    <t>25,65</t>
  </si>
  <si>
    <t>_032025001486295</t>
  </si>
  <si>
    <t>80610033088LUDWIG WUNKHAUS EXPORT COMPANIA LIMITADA</t>
  </si>
  <si>
    <t>10,35</t>
  </si>
  <si>
    <t>80610033013LUDWIG WUNKHAUS EXPORT COMPANIA LIMITADA</t>
  </si>
  <si>
    <t>6,81</t>
  </si>
  <si>
    <t>80610033070LUDWIG WUNKHAUS EXPORT COMPANIA LIMITADA</t>
  </si>
  <si>
    <t>5,76</t>
  </si>
  <si>
    <t>80610033021LUDWIG WUNKHAUS EXPORT COMPANIA LIMITADA</t>
  </si>
  <si>
    <t>7,88</t>
  </si>
  <si>
    <t>80610032973LUDWIG WUNKHAUS EXPORT COMPANIA LIMITADA</t>
  </si>
  <si>
    <t>_032026000015271</t>
  </si>
  <si>
    <t>80610033211LUDWIG WUNKHAUS EXPORT COMPANIA LIMITADA</t>
  </si>
  <si>
    <t>80610033385LUDWIG WUNKHAUS EXPORT COMPANIA LIMITADA</t>
  </si>
  <si>
    <t>80610033393LUDWIG WUNKHAUS EXPORT COMPANIA LIMITADA</t>
  </si>
  <si>
    <t>80610033419LUDWIG WUNKHAUS EXPORT COMPANIA LIMITADA</t>
  </si>
  <si>
    <t>80610033492LUDWIG WUNKHAUS EXPORT COMPANIA LIMITADA</t>
  </si>
  <si>
    <t>80610033245LUDWIG WUNKHAUS EXPORT COMPANIA LIMITADA</t>
  </si>
  <si>
    <t>FICHA TECNICA</t>
  </si>
  <si>
    <t>INDUMIL</t>
  </si>
  <si>
    <t>TMR-I-0185390-20260714</t>
  </si>
  <si>
    <t>REG-50142290-20260723N</t>
  </si>
  <si>
    <t>HT0020003273M COMPANY</t>
  </si>
  <si>
    <t>US,BR</t>
  </si>
  <si>
    <t>TMR-I-0186130-20260715</t>
  </si>
  <si>
    <t>REG-50142956-20260724N</t>
  </si>
  <si>
    <t>UU0094726613M COMPANY</t>
  </si>
  <si>
    <t>UU009472661</t>
  </si>
  <si>
    <t>TEMFLEX 165 BLANCO</t>
  </si>
  <si>
    <t>1,2</t>
  </si>
  <si>
    <t>UU0094726793M COMPANY</t>
  </si>
  <si>
    <t>UU009472679</t>
  </si>
  <si>
    <t>TEMFLEX 165 ROJO</t>
  </si>
  <si>
    <t>UU0094726383M COMPANY</t>
  </si>
  <si>
    <t>UU009472638</t>
  </si>
  <si>
    <t>TEMFLEX 165 MARRON</t>
  </si>
  <si>
    <t>1,23</t>
  </si>
  <si>
    <t>UU0094726953M COMPANY</t>
  </si>
  <si>
    <t>UU009472695</t>
  </si>
  <si>
    <t>TEMFLEX 165 VIOLETA</t>
  </si>
  <si>
    <t>UU0103412363M COMPANY</t>
  </si>
  <si>
    <t>UU010341236</t>
  </si>
  <si>
    <t>0,68</t>
  </si>
  <si>
    <t>UU0094724713M COMPANY</t>
  </si>
  <si>
    <t>UU0094688183M COMPANY</t>
  </si>
  <si>
    <t>UU009468818</t>
  </si>
  <si>
    <t>TEMFLEX 165 AZUL</t>
  </si>
  <si>
    <t>UU0094726533M COMPANY</t>
  </si>
  <si>
    <t>UU009472653</t>
  </si>
  <si>
    <t>TEMFLEX 165 AMARILLO</t>
  </si>
  <si>
    <t>UU0094726203M COMPANY</t>
  </si>
  <si>
    <t>UU009472620</t>
  </si>
  <si>
    <t>TEMFLEX 165 VERDE</t>
  </si>
  <si>
    <t>UU0094727373M COMPANY</t>
  </si>
  <si>
    <t>UU009472737</t>
  </si>
  <si>
    <t>TEMFLEX 165 NARANJA</t>
  </si>
  <si>
    <t>1,51</t>
  </si>
  <si>
    <t>UU0110386413M COMPANY</t>
  </si>
  <si>
    <t>UU011038641</t>
  </si>
  <si>
    <t>BR,US,PL</t>
  </si>
  <si>
    <t>XA0092198593M COMPANY</t>
  </si>
  <si>
    <t>XA009219859</t>
  </si>
  <si>
    <t>0,3</t>
  </si>
  <si>
    <t>US,PL</t>
  </si>
  <si>
    <t>XA0092198673M COMPANY</t>
  </si>
  <si>
    <t>XA009219867</t>
  </si>
  <si>
    <t>XA0092198753M COMPANY</t>
  </si>
  <si>
    <t>XA009219875</t>
  </si>
  <si>
    <t>XA0092198833M COMPANY</t>
  </si>
  <si>
    <t>XA009219883</t>
  </si>
  <si>
    <t>XA0092198913M COMPANY</t>
  </si>
  <si>
    <t>XA009219891</t>
  </si>
  <si>
    <t>XA0092199253M COMPANY</t>
  </si>
  <si>
    <t>XA009219925</t>
  </si>
  <si>
    <t>XA009228892</t>
  </si>
  <si>
    <t>TMR-I-0194787-20260723</t>
  </si>
  <si>
    <t>REG-50143334-20260724N</t>
  </si>
  <si>
    <t>RIM RADICADO NUEVAMENTE DO 2688334</t>
  </si>
  <si>
    <t>XA009228876</t>
  </si>
  <si>
    <t>XX1000249733M COMPANY</t>
  </si>
  <si>
    <t>XX100024973</t>
  </si>
  <si>
    <t>TW</t>
  </si>
  <si>
    <t>560B</t>
  </si>
  <si>
    <t>0,07</t>
  </si>
  <si>
    <t>TMR-I-0193430-20260722</t>
  </si>
  <si>
    <t>REG-50148135-20260730N</t>
  </si>
  <si>
    <t>0,21</t>
  </si>
  <si>
    <t xml:space="preserve">Scotchlok™ MR2 B/G+ </t>
  </si>
  <si>
    <t>0,18</t>
  </si>
  <si>
    <t>Scotchlok™ MR2 O/B+</t>
  </si>
  <si>
    <t>0,04</t>
  </si>
  <si>
    <t>Scotchlok™ MR2 R/Y+</t>
  </si>
  <si>
    <t xml:space="preserve">Scotchlok™ MR2 T/Y+ </t>
  </si>
  <si>
    <t>0,06</t>
  </si>
  <si>
    <t>2,17</t>
  </si>
  <si>
    <t>1,84</t>
  </si>
  <si>
    <t xml:space="preserve"> US  </t>
  </si>
  <si>
    <t>17,67</t>
  </si>
  <si>
    <t>20,32</t>
  </si>
  <si>
    <t>6,71</t>
  </si>
  <si>
    <t xml:space="preserve">US </t>
  </si>
  <si>
    <t>5,17</t>
  </si>
  <si>
    <t>10,89</t>
  </si>
  <si>
    <t>12,52</t>
  </si>
  <si>
    <t>11,8</t>
  </si>
  <si>
    <t>316IR</t>
  </si>
  <si>
    <t>3M™ NEXCARE™ NO HURT WRAP NHB-3</t>
  </si>
  <si>
    <t>2022DM-0026197</t>
  </si>
  <si>
    <t>INVIMA - MATERIA PRIMA</t>
  </si>
  <si>
    <t>TMR-I-0188026-20260716</t>
  </si>
  <si>
    <t>REG-50144058-20260727N</t>
  </si>
  <si>
    <t>_482025000561789</t>
  </si>
  <si>
    <t>1527S-1</t>
  </si>
  <si>
    <t>2017DM-0016274</t>
  </si>
  <si>
    <t>INVIMA - DM</t>
  </si>
  <si>
    <t>1,11</t>
  </si>
  <si>
    <t>_482025000575739</t>
  </si>
  <si>
    <t>3M NEXCARE STERI-STRIP WOUND CLOSURES H1547</t>
  </si>
  <si>
    <t>2023DM-0026926</t>
  </si>
  <si>
    <t>_482025000579285</t>
  </si>
  <si>
    <t>SENSOR DE TEMPERATURA SPOTON MODELO 360 (36000)</t>
  </si>
  <si>
    <t>2024DM-0011649-R1</t>
  </si>
  <si>
    <t>RESPIRADOR QUIRÚRGICO 3M AURA HEALTH CARE PARTICULATE RESPIRATOR AND SURGICAL MASK 1870+</t>
  </si>
  <si>
    <t>_482025000582096</t>
  </si>
  <si>
    <t>3M NEXCARE STERI,STRIP WOUND CLOSURES H1546</t>
  </si>
  <si>
    <t>2021DM-0023650</t>
  </si>
  <si>
    <t>_032025001723501</t>
  </si>
  <si>
    <t>3M™ NEXCARE™ NO HURT WRAP NHBK-3</t>
  </si>
  <si>
    <t>_482025000520948</t>
  </si>
  <si>
    <t>NEXCARE CLEAR WATERPROOF BANGADES (581-08LA, 586-15LA)</t>
  </si>
  <si>
    <t>2018DM-0017724</t>
  </si>
  <si>
    <t>PAQUETE</t>
  </si>
  <si>
    <t>_482025000614794</t>
  </si>
  <si>
    <t>NEXCARE MAX HOLD WATERPROOF BANDAGES (MHW-12LA) </t>
  </si>
  <si>
    <t>_482025000590989</t>
  </si>
  <si>
    <t>NEXCARE ULTRA FLEXIBLE BANDAGES: 567-24LA</t>
  </si>
  <si>
    <t>2017DM-0016435</t>
  </si>
  <si>
    <t>_482025000617197</t>
  </si>
  <si>
    <t>NEXCARE ULTRA FLEXIBLE BANDAGES:  566-10LA</t>
  </si>
  <si>
    <t>_482025000265492</t>
  </si>
  <si>
    <t>NEXCARE ULTRA FLEXIBLE BANDAGES: 567-16LA</t>
  </si>
  <si>
    <t>_482026000677900</t>
  </si>
  <si>
    <t>NEXCARE ULTRA FLEXIBLE BANDAGES: 571-08LA</t>
  </si>
  <si>
    <t>_032025000689555</t>
  </si>
  <si>
    <t>NEXCARE DUO BANDAGES DSA-10LA</t>
  </si>
  <si>
    <t>2022DM-0025135</t>
  </si>
  <si>
    <t>US,DE</t>
  </si>
  <si>
    <t>_482026000674966</t>
  </si>
  <si>
    <t>NEXCARE DUO BANDAGES DSA-8LA</t>
  </si>
  <si>
    <t>_482025000591001</t>
  </si>
  <si>
    <t>NEXCARE TRANSPARENT BANDAGES PC-10LA</t>
  </si>
  <si>
    <t>2022DM-0025209</t>
  </si>
  <si>
    <t>NEXCARE TRANSPARENT BANDAGES PC-20LA</t>
  </si>
  <si>
    <t>NEXCARE TEGADERM + PAD TRANSPARENT DRESSING H3584-3-LA</t>
  </si>
  <si>
    <t>2023DM-0026807</t>
  </si>
  <si>
    <t>_482025000575748</t>
  </si>
  <si>
    <t>NEXCARE TEGADERM + PAD TRANSPARENT DRESSING W3589-1-LA</t>
  </si>
  <si>
    <t>_032025001429407</t>
  </si>
  <si>
    <t>NEXCARE TEGADERM TRANSPARENT DRESSING H1624-3-LA</t>
  </si>
  <si>
    <t>2023DM-0026543</t>
  </si>
  <si>
    <t>NEXCARE WATERPROOF BANDAGES (MC-12LA)</t>
  </si>
  <si>
    <t>NEXCARE ADVANCED HEALING WATERPROOF BANDAGES (AHB-6LA)</t>
  </si>
  <si>
    <t>_032025001723504</t>
  </si>
  <si>
    <t>3M NEXCARE ABSOLUTE WATERPROOF TAPE 731</t>
  </si>
  <si>
    <t>2019DM-0019435</t>
  </si>
  <si>
    <t>_482025000614797</t>
  </si>
  <si>
    <t>1535-1</t>
  </si>
  <si>
    <t>2017DM-0016689</t>
  </si>
  <si>
    <t>_482025000328046</t>
  </si>
  <si>
    <t>3M NEXCARE WATERPROOF CLEAR BANDAGES 586-20 CURAS IMPERMEABLES TRANSPARENTES</t>
  </si>
  <si>
    <t>_482026000677011</t>
  </si>
  <si>
    <t>3M™ NEXCARE™ NO HURT WRAP NHT-3</t>
  </si>
  <si>
    <t>_482025000617185</t>
  </si>
  <si>
    <t>XA009224560</t>
  </si>
  <si>
    <t>SBC-B-25-50/1-AL</t>
  </si>
  <si>
    <t>TMR-I-0189007-20260717</t>
  </si>
  <si>
    <t>REG-50145446-20260728N</t>
  </si>
  <si>
    <t>8210-3M</t>
  </si>
  <si>
    <t>37,91</t>
  </si>
  <si>
    <t>TMR-I-0187053-20260715</t>
  </si>
  <si>
    <t>REG-50144407-20260727N</t>
  </si>
  <si>
    <t>XI003832841</t>
  </si>
  <si>
    <t>630,98</t>
  </si>
  <si>
    <t>XH003810294</t>
  </si>
  <si>
    <t>0,5</t>
  </si>
  <si>
    <t>148,19</t>
  </si>
  <si>
    <t>TMR-I-0194401-20260723</t>
  </si>
  <si>
    <t>REG-50148704-20260731N</t>
  </si>
  <si>
    <t>3M INDUSTRIAL DEGREASER</t>
  </si>
  <si>
    <t>Declaracion de conformidad No 008 Certificado de analisis de
contenido de fosforo y biodegrabilidad COD 165093
Analquim Ltda Requerimiento Tecnico Analquim Ltda. No. ANQ-2062- 18 LOTE:39802
FICHA DE SEGURIDAD</t>
  </si>
  <si>
    <t>TMR-I-0188491-20260716</t>
  </si>
  <si>
    <t>REG-50153158-20260806N</t>
  </si>
  <si>
    <t>SI-MINJUSTICIA</t>
  </si>
  <si>
    <t>SEÑOR IMPORTADOR, SE HACE NECESARIO ADJUNTAR EL CONCEPTO TÉCNICO EMITIDO POR EL MINISTERIO DE JUSTICIA Y DEL DERECHO PARA AQUELLOS PRODUCTOS QUE EN SU COMPOSICIÓN CONTENGAN SUSTANCIAS CONTROLADAS, TAL Y COMO LO INDICA LA RESOLUCIÓN 0001 DE 2015.</t>
  </si>
  <si>
    <t xml:space="preserve"> CN </t>
  </si>
  <si>
    <t>TMR-I-0206710-20260804</t>
  </si>
  <si>
    <t>REG-50155528-20260810N</t>
  </si>
  <si>
    <t>TMR-I-0208390-20260805</t>
  </si>
  <si>
    <t>REG-50155058-20260810N</t>
  </si>
  <si>
    <t>2025DM-0014312-R1</t>
  </si>
  <si>
    <t>TMR-I-0211109-20260810</t>
  </si>
  <si>
    <t>REG-50156290-20260811N</t>
  </si>
  <si>
    <t>CERTIFICACION PROVEEDOR</t>
  </si>
  <si>
    <t>TMR-I-0207417-20260805</t>
  </si>
  <si>
    <t>REG-50156390-20260811N</t>
  </si>
  <si>
    <t>PRIMER 94</t>
  </si>
  <si>
    <t>FICHA SEGURIDAD
OFI18-0004914-SCF-3310</t>
  </si>
  <si>
    <t>TMR-I-0213032-20260811</t>
  </si>
  <si>
    <t>REG-50161594-20260818N</t>
  </si>
  <si>
    <t>SUPER 77</t>
  </si>
  <si>
    <t>FICHA SEGURIDAD
MJD-OFI19-0034445-SCF-3310</t>
  </si>
  <si>
    <t>UHS 25</t>
  </si>
  <si>
    <t>FICHA SEGURIDAD
MJD-CIR24-0000017-GCSQ-30320</t>
  </si>
  <si>
    <t>Conspicuity 983-32/REDWHT.Consp.</t>
  </si>
  <si>
    <t>CSR-CER1074862</t>
  </si>
  <si>
    <t>RT - SIC</t>
  </si>
  <si>
    <t>TMR-I-0216825-20260814</t>
  </si>
  <si>
    <t>REG-50161900-20260818N</t>
  </si>
  <si>
    <t>983-72 ROJO</t>
  </si>
  <si>
    <t>26,07</t>
  </si>
  <si>
    <t>983-10, WHT W/COLOMBIA LOGO- BLANCO</t>
  </si>
  <si>
    <t>TMR-I-0210969-20260810</t>
  </si>
  <si>
    <t>REG-50161052-20260818N</t>
  </si>
  <si>
    <t>TMR-I-0214079-20260812</t>
  </si>
  <si>
    <t>REG-50160941-20260818N</t>
  </si>
  <si>
    <t>TMR-I-0216872-20260814</t>
  </si>
  <si>
    <t>REG-50162417-20260819N</t>
  </si>
  <si>
    <t>GLASS CLEANER CONCENTRATE</t>
  </si>
  <si>
    <t>OFI15-0027835- SCF-3310
DECLARACION DE CONFORMIDAD NO 031 CERTIFICADO DE ANALISIS DE CONTENIDO DE FOSFORO Y BIODEGRABILIDAD COD 234842 LOTE P287117
2017007380</t>
  </si>
  <si>
    <t>INVIMA/ANLA RT JABONES/MINJUSTICIA</t>
  </si>
  <si>
    <t>TMR-I-0216343-20260814</t>
  </si>
  <si>
    <t>REG-50163131-20260819N</t>
  </si>
  <si>
    <t>SI-INVIMA</t>
  </si>
  <si>
    <t>DE ACUERDO CON EL CÓDIGO CONTENCIOSO ADMINISTRATIVO Y CON LA FINALIDAD DE DAR CLARIDAD Y CONTINUIDAD AL TRAMITE SE SOLICITA: SIRVASE ALLEGAR LA CERTIFICACION 2017007380  DECLARADA EN LA SUBPARTIDA 1 ITEM 1. LO ANTERIOR DE CONFORMIDAD CON EL ARTÍCULO 5 DEL DECRETO 0925 DE 2013 Y EL ARTICULO 1 DEL DECRETO 1755 DE 2015 QUE MODIFICA EL ARTICULO 17 DE LA LEY 1437 DE 2011</t>
  </si>
  <si>
    <t>UU012776421</t>
  </si>
  <si>
    <t>C-SB 35-150MM2/4L</t>
  </si>
  <si>
    <t>21/05/2031</t>
  </si>
  <si>
    <t>MELEC, SHANGHAI JIAMENG INTERNATIONAL TRADING COMPANY LTD</t>
  </si>
  <si>
    <t>TMR-I-0235650-20260902</t>
  </si>
  <si>
    <t>REG-50176682-20260904N</t>
  </si>
  <si>
    <t>UU012766901</t>
  </si>
  <si>
    <t>C-SB 70-240MM2/4L</t>
  </si>
  <si>
    <t>UU012777718</t>
  </si>
  <si>
    <t>C-SB 185-400MM2/6L</t>
  </si>
  <si>
    <t>UU012777734</t>
  </si>
  <si>
    <t xml:space="preserve"> C-SB 300-630MM2/6L</t>
  </si>
  <si>
    <t>UU012777767</t>
  </si>
  <si>
    <t>L-SB 35-150MM2-16/2L</t>
  </si>
  <si>
    <t>UU012777775</t>
  </si>
  <si>
    <t xml:space="preserve"> L-SB 70-240MM2-16/2L</t>
  </si>
  <si>
    <t>UU012777809</t>
  </si>
  <si>
    <t>L-SB 185-400MM2-16/3L</t>
  </si>
  <si>
    <t>UU012778310</t>
  </si>
  <si>
    <t>L-SB 300-630MM2-16/3L</t>
  </si>
  <si>
    <t>UU013687619</t>
  </si>
  <si>
    <t>L-SB 2H 35-150MM2-12/2L</t>
  </si>
  <si>
    <t>UU013687627</t>
  </si>
  <si>
    <t>L-SB 2H 70-240MM2-12/2L</t>
  </si>
  <si>
    <t>UU013687635</t>
  </si>
  <si>
    <t>L-SB 2H 185-400MM2-12/3L</t>
  </si>
  <si>
    <t>UU013687643</t>
  </si>
  <si>
    <t>L-SB 2H 185-400MM2-16/3L</t>
  </si>
  <si>
    <t>UU013687668</t>
  </si>
  <si>
    <t>L-SB 2H 300-630MM2-16/3L</t>
  </si>
  <si>
    <t>UU013687650</t>
  </si>
  <si>
    <t>L-SB 2H 300-630MM2-12/3L</t>
  </si>
  <si>
    <t>TMR-I-0228201-20260826</t>
  </si>
  <si>
    <t>REG-50171207-20260828N</t>
  </si>
  <si>
    <t>SBA00060775/78809889567</t>
  </si>
  <si>
    <t>33,27</t>
  </si>
  <si>
    <t>21,69</t>
  </si>
  <si>
    <t>9,86</t>
  </si>
  <si>
    <t>4,5</t>
  </si>
  <si>
    <t>3,59</t>
  </si>
  <si>
    <t>3,42</t>
  </si>
  <si>
    <t>3,71</t>
  </si>
  <si>
    <t>10,08</t>
  </si>
  <si>
    <t>2,24</t>
  </si>
  <si>
    <t>3,27</t>
  </si>
  <si>
    <t>13,27</t>
  </si>
  <si>
    <t>10,67</t>
  </si>
  <si>
    <t>10,14</t>
  </si>
  <si>
    <t>2,67</t>
  </si>
  <si>
    <t>0,8</t>
  </si>
  <si>
    <t>2,68</t>
  </si>
  <si>
    <t>18,29</t>
  </si>
  <si>
    <t>325,99</t>
  </si>
  <si>
    <t>686,54</t>
  </si>
  <si>
    <t>SCOTCH 69</t>
  </si>
  <si>
    <t>7019900090</t>
  </si>
  <si>
    <t>TMR-I-0232918-20260831</t>
  </si>
  <si>
    <t>REG-50174277-20260902N</t>
  </si>
  <si>
    <t>BULK PACK Bagged QTIII T-110T Indoor Tubular Termination Assembly with Mastic Strips</t>
  </si>
  <si>
    <t>XA009225302</t>
  </si>
  <si>
    <t>36-FDT630</t>
  </si>
  <si>
    <t>TMR-I-0232784-20260831</t>
  </si>
  <si>
    <t>REG-50174474-20260902N</t>
  </si>
  <si>
    <t>SBC-B-500-630/3-AL</t>
  </si>
  <si>
    <t>XA009225401ANHUI CHARDON ELECTRIC LIMITED</t>
  </si>
  <si>
    <t>XA009225377ANHUI CHARDON ELECTRIC LIMITED</t>
  </si>
  <si>
    <t>XA009228512ANHUI CHARDON ELECTRIC LIMITED</t>
  </si>
  <si>
    <t>XA009228504ANHUI CHARDON ELECTRIC LIMITED</t>
  </si>
  <si>
    <t>XA009228496ANHUI CHARDON ELECTRIC LIMITED</t>
  </si>
  <si>
    <t>XA009228488ANHUI CHARDON ELECTRIC LIMITED</t>
  </si>
  <si>
    <t>XA009228710ANHUI CHARDON ELECTRIC LIMITED</t>
  </si>
  <si>
    <t>XA009228397ANHUI CHARDON ELECTRIC LIMITED</t>
  </si>
  <si>
    <t>XA009227779ANHUI CHARDON ELECTRIC LIMITED</t>
  </si>
  <si>
    <t>XA009228694ANHUI CHARDON ELECTRIC LIMITED</t>
  </si>
  <si>
    <t>XA009228686ANHUI CHARDON ELECTRIC LIMITED</t>
  </si>
  <si>
    <t>XA009227761ANHUI CHARDON ELECTRIC LIMITED</t>
  </si>
  <si>
    <t>XA009228678ANHUI CHARDON ELECTRIC LIMITED</t>
  </si>
  <si>
    <t>XA009228660ANHUI CHARDON ELECTRIC LIMITED</t>
  </si>
  <si>
    <t>XA009229437ANHUI CHARDON ELECTRIC LIMITED</t>
  </si>
  <si>
    <t>24-CE250T</t>
  </si>
  <si>
    <t>24-CL250</t>
  </si>
  <si>
    <t>24-CL250T</t>
  </si>
  <si>
    <t>XA009225435ANHUI CHARDON ELECTRIC LIMITED</t>
  </si>
  <si>
    <t>XA009225385ANHUI CHARDON ELECTRIC LIMITED</t>
  </si>
  <si>
    <t>XA009225351ANHUI CHARDON ELECTRIC LIMITED</t>
  </si>
  <si>
    <t>XA009225344ANHUI CHARDON ELECTRIC LIMITED</t>
  </si>
  <si>
    <t>XA009225336ANHUI CHARDON ELECTRIC LIMITED</t>
  </si>
  <si>
    <t>XA009229569ANHUI CHARDON ELECTRIC LIMITED</t>
  </si>
  <si>
    <t>XA009229510ANHUI CHARDON ELECTRIC LIMITED</t>
  </si>
  <si>
    <t>XA009229387ANHUI CHARDON ELECTRIC LIMITED</t>
  </si>
  <si>
    <t>24-ADP-E</t>
  </si>
  <si>
    <t>24-ADP-LG</t>
  </si>
  <si>
    <t>24-ADP-LH</t>
  </si>
  <si>
    <t>36-ADP-LA</t>
  </si>
  <si>
    <t>XA009228728ANHUI CHARDON ELECTRIC LIMITED</t>
  </si>
  <si>
    <t>XA009228702ANHUI CHARDON ELECTRIC LIMITED</t>
  </si>
  <si>
    <t>XA009228736ANHUI CHARDON ELECTRIC LIMITED</t>
  </si>
  <si>
    <t>XA009228652ANHUI CHARDON ELECTRIC LIMITED</t>
  </si>
  <si>
    <t>XA009228538ANHUI CHARDON ELECTRIC LIMITED</t>
  </si>
  <si>
    <t>XA009228520ANHUI CHARDON ELECTRIC LIMITED</t>
  </si>
  <si>
    <t>XA009229551ANHUI CHARDON ELECTRIC LIMITED</t>
  </si>
  <si>
    <t>XA009224560ANHUI CHARDON ELECTRIC LIMITED</t>
  </si>
  <si>
    <t>883I</t>
  </si>
  <si>
    <t>MJD-OFI23-0036268-GCSQ-30320</t>
  </si>
  <si>
    <t>141,11</t>
  </si>
  <si>
    <t>TMR-I-0228234-20260826</t>
  </si>
  <si>
    <t>REG-50174295-20260902N</t>
  </si>
  <si>
    <t>SEÑOR IMPORTADOR, SE HACE NECESARIO ADJUNTAR EL CONCEPTO TÉCNICO EMITIDO POR EL MINISTERIO DE JUSTICIA Y DEL DERECHO PARA LOS PRODUCTOS 3M™ Promotor de Adhesión de Poliolefina, PN 05907 Y 3M™ Safety-Walk™ Compuesto Sellador de bordes, TAL Y COMO LO INDICA LA RESOLUCIÓN 000</t>
  </si>
  <si>
    <t>OFI15-0006100-SCF-3310</t>
  </si>
  <si>
    <t>6,56</t>
  </si>
  <si>
    <t>LATA</t>
  </si>
  <si>
    <t>94 CA</t>
  </si>
  <si>
    <t>OFI15-0013420-SCF-3310</t>
  </si>
  <si>
    <t>311,37</t>
  </si>
  <si>
    <t>HOLDFAST CLEARCY LINDER SPRAY SCOTH WELD 70 CYLINDER</t>
  </si>
  <si>
    <t>135,69</t>
  </si>
  <si>
    <t>MJD-OFI23-0015310-SCF-30320</t>
  </si>
  <si>
    <t>MJD-OFI25-0034953-GCSQ-30321</t>
  </si>
  <si>
    <t>7,48</t>
  </si>
  <si>
    <t>105,8</t>
  </si>
  <si>
    <t>25,41</t>
  </si>
  <si>
    <t>SAFETY-WALK</t>
  </si>
  <si>
    <t>OFI15-0012283-SCF-3310</t>
  </si>
  <si>
    <t>5,14</t>
  </si>
  <si>
    <t>TUBO</t>
  </si>
  <si>
    <t>ADHESIVO 80</t>
  </si>
  <si>
    <t>7,13</t>
  </si>
  <si>
    <t>OFI18-0004914-SCF-3310</t>
  </si>
  <si>
    <t>19,43</t>
  </si>
  <si>
    <t>78 HT</t>
  </si>
  <si>
    <t>233,98</t>
  </si>
  <si>
    <t>SPA60</t>
  </si>
  <si>
    <t>MJD-OFI23-0036356-GCSQ-3032</t>
  </si>
  <si>
    <t>78 HT AZUL</t>
  </si>
  <si>
    <t>FICHA DE SEGURIDAD
MJD-OFI19-0018920-SCF-3310</t>
  </si>
  <si>
    <t>39,86</t>
  </si>
  <si>
    <t>TMR-I-0232852-20260831</t>
  </si>
  <si>
    <t>REG-50174408-20260902N</t>
  </si>
  <si>
    <t>MJD-EXT26-0050343
03.070.594 INDUMIL</t>
  </si>
  <si>
    <t>INDUMIL/MINJUSTICIA</t>
  </si>
  <si>
    <t>TMR-I-0234038-20260831</t>
  </si>
  <si>
    <t>REG-50175947-20260903N</t>
  </si>
  <si>
    <t>TMR-I-0235864-20260902</t>
  </si>
  <si>
    <t>REG-50176537-20260904N</t>
  </si>
  <si>
    <t>TF#6 H LIMP REMOVEDOR RAPIDO
LOTE 038802</t>
  </si>
  <si>
    <t>NSOH04766-15CO
DECLARACION CONFORMIDAD 007
ANALQUIM 163262
VITAL 2021245842-2-000</t>
  </si>
  <si>
    <t>25/11/2029</t>
  </si>
  <si>
    <t>INVIMA/ ANLA</t>
  </si>
  <si>
    <t>TMR-I-0235935-20260902</t>
  </si>
  <si>
    <t>REG-50176436-20260903N</t>
  </si>
  <si>
    <t>NSOH01075-19PE</t>
  </si>
  <si>
    <t>FRASCO</t>
  </si>
  <si>
    <t>TMR-I-0240767-20260907</t>
  </si>
  <si>
    <t>REG-50181707-20260910N</t>
  </si>
  <si>
    <t>TMR-I-0244161-20260909</t>
  </si>
  <si>
    <t>REG-50184477-20260914N</t>
  </si>
  <si>
    <t>TMR-I-0243922-20260909</t>
  </si>
  <si>
    <t>REG-50184123-20260914N</t>
  </si>
  <si>
    <t>TMR-I-0249275-20260914</t>
  </si>
  <si>
    <t>REG-50185419-20260915N</t>
  </si>
  <si>
    <t>NO REQUIERE REGISTRO SANITARIO DE INVIMA YA QUE SE UTILIZA COMO TIRA DE PAPEL REACTIVO PRODUCTO DISENADO PARA DETERMINAR EL NIVEL DE DEGRADACION POR USO REPETITIVO DE ACEITES GRASOS EN EL SECTOR INDUSTRIAL. NO PUEDE SER USADO EN LABORATORIO CLINICO PARA DIAGNOSTICO EN HUMANOS</t>
  </si>
  <si>
    <t>TMR-I-0249683-20260915</t>
  </si>
  <si>
    <t>REG-50187140-20260917N</t>
  </si>
  <si>
    <t>XA009225468</t>
  </si>
  <si>
    <t>SBC-B-150-240/2-AL</t>
  </si>
  <si>
    <t>CN,MX.TW</t>
  </si>
  <si>
    <t>TMR-I-0254635-20260918</t>
  </si>
  <si>
    <t>REG-50190423-20260922N</t>
  </si>
  <si>
    <t>NSOH04766-15CO</t>
  </si>
  <si>
    <t>PTE RECIBIR RADICADO VITAL</t>
  </si>
  <si>
    <t>UU013138613/UU01313861</t>
  </si>
  <si>
    <t>CL,KR, 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</si>
</sst>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dd/mm/yyyy"/>
    <numFmt numFmtId="166" formatCode="#,##0.000"/>
  </numFmts>
  <fonts count="1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rgb="FF000000"/>
      <name val="Aptos Narrow"/>
      <family val="2"/>
    </font>
    <font>
      <sz val="11"/>
      <name val="Aptos Narrow"/>
      <family val="2"/>
      <scheme val="minor"/>
    </font>
    <font>
      <sz val="11"/>
      <color rgb="FFFF0000"/>
      <name val="Aptos Narrow"/>
      <family val="2"/>
    </font>
    <font>
      <sz val="11"/>
      <color theme="1"/>
      <name val="-Apple-System"/>
      <charset val="1"/>
    </font>
    <font>
      <sz val="11"/>
      <color rgb="FF000000"/>
      <name val="Aptos Narrow"/>
    </font>
    <font>
      <sz val="11"/>
      <color theme="1"/>
      <name val="Aptos Narrow"/>
      <family val="2"/>
    </font>
    <font>
      <sz val="11"/>
      <color rgb="FF000000"/>
      <name val="Aptos Narrow"/>
      <family val="2"/>
      <scheme val="minor"/>
    </font>
  </fonts>
  <fills count="9">
    <fill>
      <patternFill patternType="none"/>
    </fill>
    <fill>
      <patternFill patternType="gray125"/>
    </fill>
    <fill>
      <patternFill patternType="solid">
        <fgColor theme="2" tint="-0.249977111117893"/>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rgb="FFFFFFFF"/>
        <bgColor rgb="FF000000"/>
      </patternFill>
    </fill>
    <fill>
      <patternFill patternType="solid">
        <fgColor rgb="FFFFFFFF"/>
        <bgColor indexed="64"/>
      </patternFill>
    </fill>
    <fill>
      <patternFill patternType="solid">
        <fgColor rgb="FFFFFF00"/>
        <bgColor indexed="64"/>
      </patternFill>
    </fill>
  </fills>
  <borders count="6">
    <border>
      <left/>
      <right/>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s>
  <cellStyleXfs count="2">
    <xf numFmtId="0" fontId="0" fillId="0" borderId="0"/>
    <xf numFmtId="43" fontId="1" fillId="0" borderId="0" applyFont="0" applyFill="0" applyBorder="0" applyAlignment="0" applyProtection="0"/>
  </cellStyleXfs>
  <cellXfs count="179">
    <xf numFmtId="0" fontId="0" fillId="0" borderId="0" xfId="0"/>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164" fontId="3" fillId="3"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0" fillId="4" borderId="3" xfId="0" applyFill="1" applyBorder="1" applyAlignment="1">
      <alignment horizontal="left" vertical="center" wrapText="1"/>
    </xf>
    <xf numFmtId="0" fontId="0" fillId="4" borderId="3" xfId="0" applyFill="1" applyBorder="1" applyAlignment="1">
      <alignment horizontal="left" vertical="center"/>
    </xf>
    <xf numFmtId="0" fontId="0" fillId="4" borderId="3" xfId="0" applyFill="1" applyBorder="1" applyAlignment="1">
      <alignment vertical="center" wrapText="1"/>
    </xf>
    <xf numFmtId="164" fontId="1" fillId="4" borderId="3" xfId="1" applyNumberFormat="1" applyFont="1" applyFill="1" applyBorder="1" applyAlignment="1">
      <alignment vertical="center" wrapText="1"/>
    </xf>
    <xf numFmtId="0" fontId="4" fillId="4" borderId="3" xfId="0" applyFont="1" applyFill="1" applyBorder="1" applyAlignment="1">
      <alignment horizontal="right" vertical="center"/>
    </xf>
    <xf numFmtId="0" fontId="4" fillId="4" borderId="3" xfId="0" applyFont="1" applyFill="1" applyBorder="1" applyAlignment="1">
      <alignment horizontal="left" vertical="center"/>
    </xf>
    <xf numFmtId="0" fontId="4" fillId="4" borderId="3" xfId="0" applyFont="1" applyFill="1" applyBorder="1" applyAlignment="1">
      <alignment vertical="center"/>
    </xf>
    <xf numFmtId="0" fontId="1" fillId="4" borderId="3" xfId="1" applyNumberFormat="1" applyFont="1" applyFill="1" applyBorder="1" applyAlignment="1">
      <alignment horizontal="center" vertical="center"/>
    </xf>
    <xf numFmtId="165" fontId="0" fillId="4" borderId="3" xfId="0" applyNumberFormat="1" applyFill="1" applyBorder="1" applyAlignment="1">
      <alignment vertical="center"/>
    </xf>
    <xf numFmtId="164" fontId="0" fillId="4" borderId="3" xfId="0" applyNumberFormat="1" applyFill="1" applyBorder="1" applyAlignment="1">
      <alignment horizontal="left" vertical="center"/>
    </xf>
    <xf numFmtId="164" fontId="0" fillId="4" borderId="3" xfId="0" applyNumberFormat="1" applyFill="1" applyBorder="1" applyAlignment="1">
      <alignment horizontal="center" vertical="center"/>
    </xf>
    <xf numFmtId="165" fontId="5" fillId="4" borderId="3" xfId="0" applyNumberFormat="1" applyFont="1" applyFill="1" applyBorder="1" applyAlignment="1">
      <alignment vertical="center" wrapText="1"/>
    </xf>
    <xf numFmtId="165" fontId="0" fillId="4" borderId="3" xfId="0" applyNumberFormat="1" applyFill="1" applyBorder="1" applyAlignment="1">
      <alignment horizontal="center" vertical="center"/>
    </xf>
    <xf numFmtId="165" fontId="5" fillId="4" borderId="3" xfId="0" applyNumberFormat="1" applyFont="1" applyFill="1" applyBorder="1" applyAlignment="1">
      <alignment horizontal="left" vertical="center" wrapText="1"/>
    </xf>
    <xf numFmtId="165" fontId="0" fillId="4" borderId="3" xfId="0" applyNumberFormat="1" applyFill="1" applyBorder="1" applyAlignment="1">
      <alignment horizontal="left" vertical="center" wrapText="1"/>
    </xf>
    <xf numFmtId="0" fontId="2" fillId="4" borderId="3" xfId="0" applyFont="1" applyFill="1" applyBorder="1" applyAlignment="1">
      <alignment horizontal="left" vertical="center" wrapText="1"/>
    </xf>
    <xf numFmtId="0" fontId="2" fillId="4" borderId="3" xfId="0" applyFont="1" applyFill="1" applyBorder="1" applyAlignment="1">
      <alignment vertical="center" wrapText="1"/>
    </xf>
    <xf numFmtId="0" fontId="0" fillId="5" borderId="3" xfId="0" applyFill="1" applyBorder="1" applyAlignment="1">
      <alignment horizontal="left" vertical="center" wrapText="1"/>
    </xf>
    <xf numFmtId="0" fontId="0" fillId="5" borderId="3" xfId="0" applyFill="1" applyBorder="1" applyAlignment="1">
      <alignment horizontal="left" vertical="center"/>
    </xf>
    <xf numFmtId="0" fontId="0" fillId="5" borderId="3" xfId="0" applyFill="1" applyBorder="1" applyAlignment="1">
      <alignment vertical="center" wrapText="1"/>
    </xf>
    <xf numFmtId="164" fontId="0" fillId="5" borderId="3" xfId="0" applyNumberFormat="1" applyFill="1" applyBorder="1" applyAlignment="1">
      <alignment vertical="center" wrapText="1"/>
    </xf>
    <xf numFmtId="0" fontId="0" fillId="5" borderId="3" xfId="0" applyFill="1" applyBorder="1" applyAlignment="1">
      <alignment horizontal="right" vertical="center"/>
    </xf>
    <xf numFmtId="0" fontId="0" fillId="5" borderId="3" xfId="0" applyFill="1" applyBorder="1" applyAlignment="1">
      <alignment vertical="center"/>
    </xf>
    <xf numFmtId="0" fontId="1" fillId="5" borderId="3" xfId="1" applyNumberFormat="1" applyFont="1" applyFill="1" applyBorder="1" applyAlignment="1">
      <alignment horizontal="center" vertical="center"/>
    </xf>
    <xf numFmtId="165" fontId="0" fillId="5" borderId="3" xfId="0" applyNumberFormat="1" applyFill="1" applyBorder="1" applyAlignment="1">
      <alignment vertical="center"/>
    </xf>
    <xf numFmtId="164" fontId="0" fillId="5" borderId="3" xfId="0" applyNumberFormat="1" applyFill="1" applyBorder="1" applyAlignment="1">
      <alignment horizontal="left" vertical="center"/>
    </xf>
    <xf numFmtId="164" fontId="0" fillId="5" borderId="3" xfId="0" applyNumberFormat="1" applyFill="1" applyBorder="1" applyAlignment="1">
      <alignment horizontal="center" vertical="center"/>
    </xf>
    <xf numFmtId="165" fontId="0" fillId="5" borderId="3" xfId="0" applyNumberFormat="1" applyFill="1" applyBorder="1" applyAlignment="1">
      <alignment horizontal="left" vertical="center" wrapText="1"/>
    </xf>
    <xf numFmtId="165" fontId="0" fillId="5" borderId="3" xfId="0" applyNumberFormat="1" applyFill="1" applyBorder="1" applyAlignment="1">
      <alignment horizontal="center" vertical="center"/>
    </xf>
    <xf numFmtId="165" fontId="0" fillId="5" borderId="3" xfId="0" applyNumberFormat="1" applyFill="1" applyBorder="1" applyAlignment="1">
      <alignment vertical="center" wrapText="1"/>
    </xf>
    <xf numFmtId="0" fontId="4" fillId="4" borderId="3" xfId="0" applyFont="1" applyFill="1" applyBorder="1" applyAlignment="1">
      <alignment horizontal="right" vertical="center" wrapText="1"/>
    </xf>
    <xf numFmtId="0" fontId="4" fillId="5" borderId="3" xfId="0" applyFont="1" applyFill="1" applyBorder="1" applyAlignment="1">
      <alignment horizontal="right" vertical="center"/>
    </xf>
    <xf numFmtId="0" fontId="4" fillId="5" borderId="3" xfId="0" applyFont="1" applyFill="1" applyBorder="1" applyAlignment="1">
      <alignment vertical="center"/>
    </xf>
    <xf numFmtId="0" fontId="4" fillId="5" borderId="3" xfId="0" applyFont="1" applyFill="1" applyBorder="1" applyAlignment="1">
      <alignment horizontal="left" vertical="center"/>
    </xf>
    <xf numFmtId="0" fontId="4" fillId="5" borderId="3" xfId="1" applyNumberFormat="1" applyFont="1" applyFill="1" applyBorder="1" applyAlignment="1">
      <alignment vertical="center"/>
    </xf>
    <xf numFmtId="14" fontId="0" fillId="5" borderId="3" xfId="0" applyNumberFormat="1" applyFill="1" applyBorder="1" applyAlignment="1">
      <alignment vertical="center"/>
    </xf>
    <xf numFmtId="14" fontId="0" fillId="5" borderId="3" xfId="0" applyNumberFormat="1" applyFill="1" applyBorder="1" applyAlignment="1">
      <alignment vertical="center" wrapText="1"/>
    </xf>
    <xf numFmtId="14" fontId="0" fillId="5" borderId="3" xfId="0" applyNumberFormat="1" applyFill="1" applyBorder="1" applyAlignment="1">
      <alignment horizontal="center" vertical="center"/>
    </xf>
    <xf numFmtId="0" fontId="4" fillId="4" borderId="3" xfId="0" applyFont="1" applyFill="1" applyBorder="1" applyAlignment="1">
      <alignment vertical="center" wrapText="1"/>
    </xf>
    <xf numFmtId="0" fontId="2" fillId="4" borderId="3" xfId="0" applyFont="1" applyFill="1" applyBorder="1" applyAlignment="1">
      <alignment horizontal="left" vertical="center"/>
    </xf>
    <xf numFmtId="164" fontId="2" fillId="4" borderId="3" xfId="1" applyNumberFormat="1" applyFont="1" applyFill="1" applyBorder="1" applyAlignment="1">
      <alignment vertical="center" wrapText="1"/>
    </xf>
    <xf numFmtId="0" fontId="6" fillId="4" borderId="3" xfId="0" applyFont="1" applyFill="1" applyBorder="1" applyAlignment="1">
      <alignment horizontal="right" vertical="center"/>
    </xf>
    <xf numFmtId="0" fontId="6" fillId="4" borderId="3" xfId="0" applyFont="1" applyFill="1" applyBorder="1" applyAlignment="1">
      <alignment horizontal="left" vertical="center"/>
    </xf>
    <xf numFmtId="0" fontId="6" fillId="4" borderId="3" xfId="0" applyFont="1" applyFill="1" applyBorder="1" applyAlignment="1">
      <alignment vertical="center"/>
    </xf>
    <xf numFmtId="0" fontId="2" fillId="4" borderId="3" xfId="1" applyNumberFormat="1" applyFont="1" applyFill="1" applyBorder="1" applyAlignment="1">
      <alignment horizontal="center" vertical="center"/>
    </xf>
    <xf numFmtId="165" fontId="2" fillId="4" borderId="3" xfId="0" applyNumberFormat="1" applyFont="1" applyFill="1" applyBorder="1" applyAlignment="1">
      <alignment vertical="center"/>
    </xf>
    <xf numFmtId="164" fontId="2" fillId="4" borderId="3" xfId="0" applyNumberFormat="1" applyFont="1" applyFill="1" applyBorder="1" applyAlignment="1">
      <alignment horizontal="left" vertical="center"/>
    </xf>
    <xf numFmtId="164" fontId="2" fillId="4" borderId="3" xfId="0" applyNumberFormat="1" applyFont="1" applyFill="1" applyBorder="1" applyAlignment="1">
      <alignment horizontal="center" vertical="center"/>
    </xf>
    <xf numFmtId="165" fontId="2" fillId="4" borderId="3" xfId="0" applyNumberFormat="1" applyFont="1" applyFill="1" applyBorder="1" applyAlignment="1">
      <alignment horizontal="left" vertical="center" wrapText="1"/>
    </xf>
    <xf numFmtId="165" fontId="2" fillId="4" borderId="3" xfId="0" applyNumberFormat="1" applyFont="1" applyFill="1" applyBorder="1" applyAlignment="1">
      <alignment horizontal="center" vertical="center"/>
    </xf>
    <xf numFmtId="0" fontId="6" fillId="4" borderId="3" xfId="0" applyFont="1" applyFill="1" applyBorder="1" applyAlignment="1">
      <alignment horizontal="left" vertical="center" wrapText="1"/>
    </xf>
    <xf numFmtId="165" fontId="1" fillId="4" borderId="3" xfId="1" applyNumberFormat="1" applyFont="1" applyFill="1" applyBorder="1" applyAlignment="1">
      <alignment vertical="center"/>
    </xf>
    <xf numFmtId="165" fontId="1" fillId="4" borderId="3" xfId="1" applyNumberFormat="1" applyFont="1" applyFill="1" applyBorder="1" applyAlignment="1">
      <alignment horizontal="left" vertical="center" wrapText="1"/>
    </xf>
    <xf numFmtId="165" fontId="1" fillId="4" borderId="3" xfId="1" applyNumberFormat="1" applyFont="1" applyFill="1" applyBorder="1" applyAlignment="1">
      <alignment horizontal="center" vertical="center"/>
    </xf>
    <xf numFmtId="14" fontId="1" fillId="4" borderId="3" xfId="1" applyNumberFormat="1" applyFont="1" applyFill="1" applyBorder="1" applyAlignment="1">
      <alignment horizontal="right" vertical="center" wrapText="1"/>
    </xf>
    <xf numFmtId="165" fontId="0" fillId="4" borderId="3" xfId="0" applyNumberFormat="1" applyFill="1" applyBorder="1" applyAlignment="1">
      <alignment vertical="center" wrapText="1"/>
    </xf>
    <xf numFmtId="0" fontId="7" fillId="4" borderId="3" xfId="0" applyFont="1" applyFill="1" applyBorder="1" applyAlignment="1">
      <alignment horizontal="left" vertical="center"/>
    </xf>
    <xf numFmtId="0" fontId="0" fillId="4" borderId="3" xfId="0" applyFill="1" applyBorder="1" applyAlignment="1">
      <alignment vertical="center"/>
    </xf>
    <xf numFmtId="165" fontId="0" fillId="4" borderId="3" xfId="0" applyNumberFormat="1" applyFill="1" applyBorder="1" applyAlignment="1">
      <alignment horizontal="center" vertical="center" wrapText="1"/>
    </xf>
    <xf numFmtId="0" fontId="4" fillId="4" borderId="3" xfId="0" applyFont="1" applyFill="1" applyBorder="1" applyAlignment="1">
      <alignment horizontal="left" vertical="center" wrapText="1"/>
    </xf>
    <xf numFmtId="2" fontId="4" fillId="4" borderId="3" xfId="0" applyNumberFormat="1" applyFont="1" applyFill="1" applyBorder="1" applyAlignment="1">
      <alignment horizontal="right" vertical="center"/>
    </xf>
    <xf numFmtId="0" fontId="8" fillId="4" borderId="3" xfId="0" applyFont="1" applyFill="1" applyBorder="1" applyAlignment="1">
      <alignment vertical="center"/>
    </xf>
    <xf numFmtId="0" fontId="0" fillId="0" borderId="3" xfId="0"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vertical="center" wrapText="1"/>
    </xf>
    <xf numFmtId="164" fontId="1" fillId="0" borderId="3" xfId="1" applyNumberFormat="1" applyFont="1" applyFill="1" applyBorder="1" applyAlignment="1">
      <alignment vertical="center" wrapText="1"/>
    </xf>
    <xf numFmtId="0" fontId="4" fillId="6" borderId="3" xfId="0" applyFont="1" applyFill="1" applyBorder="1" applyAlignment="1">
      <alignment horizontal="right" vertical="center"/>
    </xf>
    <xf numFmtId="0" fontId="4" fillId="6" borderId="3" xfId="0" applyFont="1" applyFill="1" applyBorder="1" applyAlignment="1">
      <alignment horizontal="left" vertical="center"/>
    </xf>
    <xf numFmtId="0" fontId="4" fillId="6" borderId="3" xfId="0" applyFont="1" applyFill="1" applyBorder="1" applyAlignment="1">
      <alignment vertical="center"/>
    </xf>
    <xf numFmtId="0" fontId="1" fillId="0" borderId="3" xfId="1" applyNumberFormat="1" applyFont="1" applyFill="1" applyBorder="1" applyAlignment="1">
      <alignment horizontal="center" vertical="center"/>
    </xf>
    <xf numFmtId="165" fontId="0" fillId="0" borderId="3" xfId="0" applyNumberFormat="1" applyBorder="1" applyAlignment="1">
      <alignment vertical="center"/>
    </xf>
    <xf numFmtId="164" fontId="0" fillId="0" borderId="3" xfId="0" applyNumberFormat="1" applyBorder="1" applyAlignment="1">
      <alignment horizontal="left" vertical="center"/>
    </xf>
    <xf numFmtId="164" fontId="0" fillId="0" borderId="3" xfId="0" applyNumberFormat="1" applyBorder="1" applyAlignment="1">
      <alignment horizontal="center" vertical="center"/>
    </xf>
    <xf numFmtId="165" fontId="5" fillId="0" borderId="3" xfId="0" applyNumberFormat="1" applyFont="1" applyBorder="1" applyAlignment="1">
      <alignment vertical="center" wrapText="1"/>
    </xf>
    <xf numFmtId="165" fontId="0" fillId="0" borderId="3" xfId="0" applyNumberFormat="1" applyBorder="1" applyAlignment="1">
      <alignment horizontal="center" vertical="center"/>
    </xf>
    <xf numFmtId="166" fontId="4" fillId="6" borderId="3" xfId="0" applyNumberFormat="1" applyFont="1" applyFill="1" applyBorder="1" applyAlignment="1">
      <alignment horizontal="right" vertical="center"/>
    </xf>
    <xf numFmtId="0" fontId="8" fillId="6" borderId="3" xfId="0" applyFont="1" applyFill="1" applyBorder="1" applyAlignment="1">
      <alignment horizontal="left" vertical="center" wrapText="1"/>
    </xf>
    <xf numFmtId="0" fontId="8" fillId="6" borderId="3" xfId="0" applyFont="1" applyFill="1" applyBorder="1" applyAlignment="1">
      <alignment vertical="center" wrapText="1"/>
    </xf>
    <xf numFmtId="14" fontId="1" fillId="0" borderId="3" xfId="1" applyNumberFormat="1" applyFont="1" applyFill="1" applyBorder="1" applyAlignment="1">
      <alignment horizontal="right" vertical="center" wrapText="1"/>
    </xf>
    <xf numFmtId="3" fontId="4" fillId="6" borderId="3" xfId="0" applyNumberFormat="1" applyFont="1" applyFill="1" applyBorder="1" applyAlignment="1">
      <alignment horizontal="right" vertical="center"/>
    </xf>
    <xf numFmtId="0" fontId="4" fillId="6" borderId="3" xfId="0" applyFont="1" applyFill="1" applyBorder="1" applyAlignment="1">
      <alignment horizontal="right" vertical="center" wrapText="1"/>
    </xf>
    <xf numFmtId="165" fontId="0" fillId="0" borderId="3" xfId="0" applyNumberFormat="1" applyBorder="1" applyAlignment="1">
      <alignment vertical="center" wrapText="1"/>
    </xf>
    <xf numFmtId="0" fontId="9" fillId="0" borderId="3" xfId="0" applyFont="1" applyBorder="1" applyAlignment="1">
      <alignment horizontal="left" vertical="center"/>
    </xf>
    <xf numFmtId="0" fontId="9" fillId="0" borderId="3" xfId="0" applyFont="1" applyBorder="1" applyAlignment="1">
      <alignment horizontal="left" vertical="center" wrapText="1"/>
    </xf>
    <xf numFmtId="2" fontId="9" fillId="0" borderId="3" xfId="0" applyNumberFormat="1" applyFont="1" applyBorder="1" applyAlignment="1">
      <alignment horizontal="right" vertical="center"/>
    </xf>
    <xf numFmtId="0" fontId="9" fillId="0" borderId="3" xfId="0" applyFont="1" applyBorder="1" applyAlignment="1">
      <alignment horizontal="right" vertical="center"/>
    </xf>
    <xf numFmtId="0" fontId="4" fillId="0" borderId="3" xfId="0" applyFont="1" applyBorder="1" applyAlignment="1">
      <alignment vertical="center"/>
    </xf>
    <xf numFmtId="14" fontId="1" fillId="0" borderId="3" xfId="1" applyNumberFormat="1" applyFont="1" applyFill="1" applyBorder="1" applyAlignment="1">
      <alignment vertical="center" wrapText="1"/>
    </xf>
    <xf numFmtId="0" fontId="4" fillId="0" borderId="3" xfId="0" applyFont="1" applyBorder="1" applyAlignment="1">
      <alignment horizontal="right" vertical="center"/>
    </xf>
    <xf numFmtId="0" fontId="4" fillId="0" borderId="3" xfId="0" applyFont="1" applyBorder="1" applyAlignment="1">
      <alignment horizontal="left" vertical="center"/>
    </xf>
    <xf numFmtId="165" fontId="0" fillId="0" borderId="3" xfId="0" applyNumberFormat="1" applyBorder="1" applyAlignment="1">
      <alignment horizontal="left" vertical="center" wrapText="1"/>
    </xf>
    <xf numFmtId="0" fontId="0" fillId="0" borderId="3" xfId="0" applyBorder="1" applyAlignment="1">
      <alignment horizontal="right" vertical="center" wrapText="1"/>
    </xf>
    <xf numFmtId="14" fontId="0" fillId="0" borderId="3" xfId="0" applyNumberFormat="1" applyBorder="1" applyAlignment="1">
      <alignment horizontal="right" vertical="center" wrapText="1"/>
    </xf>
    <xf numFmtId="0" fontId="4" fillId="0" borderId="3" xfId="0" applyFont="1" applyBorder="1" applyAlignment="1">
      <alignment horizontal="left" vertical="center" wrapText="1"/>
    </xf>
    <xf numFmtId="164" fontId="1" fillId="0" borderId="3" xfId="1" applyNumberFormat="1" applyFont="1" applyBorder="1" applyAlignment="1">
      <alignment vertical="center" wrapText="1"/>
    </xf>
    <xf numFmtId="0" fontId="0" fillId="0" borderId="3" xfId="0" applyBorder="1" applyAlignment="1">
      <alignment horizontal="right" vertical="center"/>
    </xf>
    <xf numFmtId="0" fontId="5" fillId="0" borderId="3" xfId="0" applyFont="1" applyBorder="1" applyAlignment="1">
      <alignment horizontal="left" vertical="center"/>
    </xf>
    <xf numFmtId="0" fontId="5" fillId="0" borderId="3" xfId="0" applyFont="1" applyBorder="1" applyAlignment="1">
      <alignment horizontal="left" vertical="center" wrapText="1"/>
    </xf>
    <xf numFmtId="0" fontId="5" fillId="0" borderId="3" xfId="0" applyFont="1" applyBorder="1" applyAlignment="1">
      <alignment vertical="center" wrapText="1"/>
    </xf>
    <xf numFmtId="14" fontId="5" fillId="0" borderId="3" xfId="1" applyNumberFormat="1" applyFont="1" applyFill="1" applyBorder="1" applyAlignment="1">
      <alignment horizontal="right" vertical="center" wrapText="1"/>
    </xf>
    <xf numFmtId="0" fontId="4" fillId="0" borderId="3" xfId="0" applyFont="1" applyBorder="1" applyAlignment="1">
      <alignment vertical="center" wrapText="1"/>
    </xf>
    <xf numFmtId="0" fontId="4" fillId="6" borderId="3" xfId="0" applyFont="1" applyFill="1" applyBorder="1" applyAlignment="1">
      <alignment horizontal="left" vertical="center" wrapText="1"/>
    </xf>
    <xf numFmtId="49" fontId="5" fillId="0" borderId="3" xfId="0" applyNumberFormat="1" applyFont="1" applyBorder="1" applyAlignment="1">
      <alignment horizontal="left" vertical="center" wrapText="1"/>
    </xf>
    <xf numFmtId="49" fontId="5" fillId="0" borderId="3" xfId="0" applyNumberFormat="1" applyFont="1" applyBorder="1" applyAlignment="1">
      <alignment horizontal="left" vertical="center"/>
    </xf>
    <xf numFmtId="0" fontId="4" fillId="7" borderId="3" xfId="0" applyFont="1" applyFill="1" applyBorder="1" applyAlignment="1">
      <alignment horizontal="left" vertical="center"/>
    </xf>
    <xf numFmtId="0" fontId="4" fillId="0" borderId="3" xfId="0" applyFont="1" applyBorder="1" applyAlignment="1">
      <alignment horizontal="right" vertical="center" wrapText="1"/>
    </xf>
    <xf numFmtId="0" fontId="4" fillId="6" borderId="3" xfId="0" applyFont="1" applyFill="1" applyBorder="1" applyAlignment="1">
      <alignment vertical="center" wrapText="1"/>
    </xf>
    <xf numFmtId="0" fontId="9" fillId="6" borderId="3" xfId="0" applyFont="1" applyFill="1" applyBorder="1" applyAlignment="1">
      <alignment horizontal="right" vertical="center"/>
    </xf>
    <xf numFmtId="0" fontId="9" fillId="6" borderId="3" xfId="0" applyFont="1" applyFill="1" applyBorder="1" applyAlignment="1">
      <alignment horizontal="left" vertical="center"/>
    </xf>
    <xf numFmtId="0" fontId="9" fillId="6" borderId="3" xfId="0" applyFont="1" applyFill="1" applyBorder="1" applyAlignment="1">
      <alignment vertical="center"/>
    </xf>
    <xf numFmtId="0" fontId="4" fillId="6" borderId="4" xfId="0" applyFont="1" applyFill="1" applyBorder="1" applyAlignment="1">
      <alignment vertical="center"/>
    </xf>
    <xf numFmtId="0" fontId="10" fillId="0" borderId="3" xfId="0" applyFont="1" applyBorder="1" applyAlignment="1">
      <alignment horizontal="left" vertical="center" wrapText="1"/>
    </xf>
    <xf numFmtId="0" fontId="10" fillId="0" borderId="3" xfId="0" applyFont="1" applyBorder="1" applyAlignment="1">
      <alignment horizontal="left" vertical="center"/>
    </xf>
    <xf numFmtId="0" fontId="10" fillId="0" borderId="3" xfId="0" applyFont="1" applyBorder="1" applyAlignment="1">
      <alignment vertical="center" wrapText="1"/>
    </xf>
    <xf numFmtId="164" fontId="10" fillId="0" borderId="3" xfId="1" applyNumberFormat="1" applyFont="1" applyFill="1" applyBorder="1" applyAlignment="1">
      <alignment vertical="center" wrapText="1"/>
    </xf>
    <xf numFmtId="0" fontId="10" fillId="0" borderId="3" xfId="1" applyNumberFormat="1" applyFont="1" applyFill="1" applyBorder="1" applyAlignment="1">
      <alignment horizontal="center" vertical="center"/>
    </xf>
    <xf numFmtId="165" fontId="10" fillId="0" borderId="3" xfId="0" applyNumberFormat="1" applyFont="1" applyBorder="1" applyAlignment="1">
      <alignment vertical="center"/>
    </xf>
    <xf numFmtId="164" fontId="10" fillId="0" borderId="3" xfId="0" applyNumberFormat="1" applyFont="1" applyBorder="1" applyAlignment="1">
      <alignment horizontal="left" vertical="center"/>
    </xf>
    <xf numFmtId="164" fontId="10" fillId="0" borderId="3" xfId="0" applyNumberFormat="1" applyFont="1" applyBorder="1" applyAlignment="1">
      <alignment horizontal="center" vertical="center"/>
    </xf>
    <xf numFmtId="165" fontId="10" fillId="0" borderId="3" xfId="0" applyNumberFormat="1" applyFont="1" applyBorder="1" applyAlignment="1">
      <alignment vertical="center" wrapText="1"/>
    </xf>
    <xf numFmtId="165" fontId="10" fillId="0" borderId="3" xfId="0" applyNumberFormat="1" applyFont="1" applyBorder="1" applyAlignment="1">
      <alignment horizontal="center" vertical="center"/>
    </xf>
    <xf numFmtId="14" fontId="0" fillId="0" borderId="3" xfId="0" applyNumberFormat="1"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xf>
    <xf numFmtId="0" fontId="0" fillId="0" borderId="5" xfId="0" applyBorder="1" applyAlignment="1">
      <alignment vertical="center" wrapText="1"/>
    </xf>
    <xf numFmtId="164" fontId="1" fillId="0" borderId="5" xfId="1" applyNumberFormat="1" applyFont="1" applyFill="1" applyBorder="1" applyAlignment="1">
      <alignment vertical="center" wrapText="1"/>
    </xf>
    <xf numFmtId="0" fontId="4" fillId="6" borderId="5" xfId="0" applyFont="1" applyFill="1" applyBorder="1" applyAlignment="1">
      <alignment horizontal="right" vertical="center"/>
    </xf>
    <xf numFmtId="0" fontId="4" fillId="6" borderId="5" xfId="0" applyFont="1" applyFill="1" applyBorder="1" applyAlignment="1">
      <alignment horizontal="left" vertical="center"/>
    </xf>
    <xf numFmtId="0" fontId="4" fillId="0" borderId="5" xfId="0" applyFont="1" applyBorder="1" applyAlignment="1">
      <alignment horizontal="left" vertical="center" wrapText="1"/>
    </xf>
    <xf numFmtId="0" fontId="4" fillId="6" borderId="5" xfId="0" applyFont="1" applyFill="1" applyBorder="1" applyAlignment="1">
      <alignment horizontal="right" vertical="center" wrapText="1"/>
    </xf>
    <xf numFmtId="0" fontId="1" fillId="0" borderId="5" xfId="1" applyNumberFormat="1" applyFont="1" applyFill="1" applyBorder="1" applyAlignment="1">
      <alignment horizontal="center" vertical="center"/>
    </xf>
    <xf numFmtId="164" fontId="0" fillId="0" borderId="5" xfId="0" applyNumberFormat="1" applyBorder="1" applyAlignment="1">
      <alignment horizontal="center" vertical="center"/>
    </xf>
    <xf numFmtId="0" fontId="4" fillId="0" borderId="5" xfId="0" applyFont="1" applyBorder="1" applyAlignment="1">
      <alignment vertical="center"/>
    </xf>
    <xf numFmtId="165" fontId="0" fillId="0" borderId="5" xfId="0" applyNumberFormat="1" applyBorder="1" applyAlignment="1">
      <alignment vertical="center"/>
    </xf>
    <xf numFmtId="164" fontId="0" fillId="0" borderId="5" xfId="0" applyNumberFormat="1" applyBorder="1" applyAlignment="1">
      <alignment horizontal="left" vertical="center"/>
    </xf>
    <xf numFmtId="14" fontId="0" fillId="0" borderId="5" xfId="0" applyNumberFormat="1" applyBorder="1" applyAlignment="1">
      <alignment horizontal="left" vertical="center"/>
    </xf>
    <xf numFmtId="165" fontId="5" fillId="0" borderId="5" xfId="0" applyNumberFormat="1" applyFont="1" applyBorder="1" applyAlignment="1">
      <alignment vertical="center" wrapText="1"/>
    </xf>
    <xf numFmtId="165" fontId="0" fillId="0" borderId="5" xfId="0" applyNumberFormat="1" applyBorder="1" applyAlignment="1">
      <alignment horizontal="center" vertical="center"/>
    </xf>
    <xf numFmtId="0" fontId="4" fillId="0" borderId="5" xfId="0" applyFont="1" applyBorder="1" applyAlignment="1">
      <alignment horizontal="left" vertical="center"/>
    </xf>
    <xf numFmtId="0" fontId="4" fillId="6" borderId="5" xfId="0" applyFont="1" applyFill="1" applyBorder="1" applyAlignment="1">
      <alignment vertical="center"/>
    </xf>
    <xf numFmtId="3" fontId="9" fillId="6" borderId="3" xfId="0" applyNumberFormat="1" applyFont="1" applyFill="1" applyBorder="1" applyAlignment="1">
      <alignment horizontal="right" vertical="center"/>
    </xf>
    <xf numFmtId="0" fontId="9" fillId="6" borderId="5" xfId="0" applyFont="1" applyFill="1" applyBorder="1" applyAlignment="1">
      <alignment horizontal="left" vertical="center"/>
    </xf>
    <xf numFmtId="0" fontId="9" fillId="6" borderId="5" xfId="0" applyFont="1" applyFill="1" applyBorder="1" applyAlignment="1">
      <alignment vertical="center"/>
    </xf>
    <xf numFmtId="165" fontId="0" fillId="0" borderId="5" xfId="0" applyNumberFormat="1" applyBorder="1" applyAlignment="1">
      <alignment vertical="center" wrapText="1"/>
    </xf>
    <xf numFmtId="0" fontId="4" fillId="0" borderId="5" xfId="0" applyFont="1" applyBorder="1" applyAlignment="1">
      <alignment horizontal="right" vertical="center"/>
    </xf>
    <xf numFmtId="0" fontId="0" fillId="8" borderId="5" xfId="0" applyFill="1" applyBorder="1" applyAlignment="1">
      <alignment horizontal="left" vertical="center" wrapText="1"/>
    </xf>
    <xf numFmtId="0" fontId="0" fillId="8" borderId="5" xfId="0" applyFill="1" applyBorder="1" applyAlignment="1">
      <alignment horizontal="left" vertical="center"/>
    </xf>
    <xf numFmtId="0" fontId="0" fillId="8" borderId="5" xfId="0" applyFill="1" applyBorder="1" applyAlignment="1">
      <alignment vertical="center" wrapText="1"/>
    </xf>
    <xf numFmtId="164" fontId="1" fillId="8" borderId="5" xfId="1" applyNumberFormat="1" applyFont="1" applyFill="1" applyBorder="1" applyAlignment="1">
      <alignment vertical="center" wrapText="1"/>
    </xf>
    <xf numFmtId="0" fontId="4" fillId="8" borderId="5" xfId="0" applyFont="1" applyFill="1" applyBorder="1" applyAlignment="1">
      <alignment horizontal="right" vertical="center"/>
    </xf>
    <xf numFmtId="0" fontId="4" fillId="8" borderId="5" xfId="0" applyFont="1" applyFill="1" applyBorder="1" applyAlignment="1">
      <alignment horizontal="left" vertical="center"/>
    </xf>
    <xf numFmtId="0" fontId="4" fillId="8" borderId="5" xfId="0" applyFont="1" applyFill="1" applyBorder="1" applyAlignment="1">
      <alignment vertical="center"/>
    </xf>
    <xf numFmtId="0" fontId="1" fillId="8" borderId="5" xfId="1" applyNumberFormat="1" applyFont="1" applyFill="1" applyBorder="1" applyAlignment="1">
      <alignment horizontal="center" vertical="center"/>
    </xf>
    <xf numFmtId="165" fontId="0" fillId="8" borderId="5" xfId="0" applyNumberFormat="1" applyFill="1" applyBorder="1" applyAlignment="1">
      <alignment vertical="center"/>
    </xf>
    <xf numFmtId="164" fontId="0" fillId="8" borderId="5" xfId="0" applyNumberFormat="1" applyFill="1" applyBorder="1" applyAlignment="1">
      <alignment horizontal="left" vertical="center"/>
    </xf>
    <xf numFmtId="14" fontId="0" fillId="8" borderId="5" xfId="0" applyNumberFormat="1" applyFill="1" applyBorder="1" applyAlignment="1">
      <alignment horizontal="left" vertical="center"/>
    </xf>
    <xf numFmtId="164" fontId="0" fillId="8" borderId="5" xfId="0" applyNumberFormat="1" applyFill="1" applyBorder="1" applyAlignment="1">
      <alignment horizontal="center" vertical="center"/>
    </xf>
    <xf numFmtId="165" fontId="5" fillId="8" borderId="5" xfId="0" applyNumberFormat="1" applyFont="1" applyFill="1" applyBorder="1" applyAlignment="1">
      <alignment vertical="center" wrapText="1"/>
    </xf>
    <xf numFmtId="165" fontId="0" fillId="8" borderId="5" xfId="0" applyNumberFormat="1" applyFill="1" applyBorder="1" applyAlignment="1">
      <alignment horizontal="center" vertical="center"/>
    </xf>
    <xf numFmtId="0" fontId="4" fillId="6" borderId="5" xfId="0" applyFont="1" applyFill="1" applyBorder="1" applyAlignment="1">
      <alignment vertical="center" wrapText="1"/>
    </xf>
    <xf numFmtId="0" fontId="2" fillId="0" borderId="5" xfId="0" applyFont="1" applyBorder="1" applyAlignment="1">
      <alignment horizontal="left" vertical="center" wrapText="1"/>
    </xf>
    <xf numFmtId="166" fontId="4" fillId="6" borderId="5" xfId="0" applyNumberFormat="1" applyFont="1" applyFill="1" applyBorder="1" applyAlignment="1">
      <alignment horizontal="right" vertical="center"/>
    </xf>
    <xf numFmtId="0" fontId="8" fillId="6" borderId="5" xfId="0" applyFont="1" applyFill="1" applyBorder="1" applyAlignment="1">
      <alignment horizontal="left" vertical="center" wrapText="1"/>
    </xf>
    <xf numFmtId="0" fontId="8" fillId="6" borderId="5" xfId="0" applyFont="1" applyFill="1" applyBorder="1" applyAlignment="1">
      <alignment vertical="center" wrapText="1"/>
    </xf>
    <xf numFmtId="0" fontId="4" fillId="6" borderId="5" xfId="0" applyFont="1" applyFill="1" applyBorder="1" applyAlignment="1">
      <alignment horizontal="left" vertical="center" wrapText="1"/>
    </xf>
    <xf numFmtId="164" fontId="3" fillId="8" borderId="1" xfId="0" applyNumberFormat="1" applyFont="1" applyFill="1" applyBorder="1" applyAlignment="1">
      <alignment horizontal="center" vertical="center" wrapText="1"/>
    </xf>
    <xf numFmtId="164" fontId="0" fillId="8" borderId="3" xfId="0" applyNumberFormat="1" applyFill="1" applyBorder="1" applyAlignment="1">
      <alignment horizontal="left" vertical="center"/>
    </xf>
    <xf numFmtId="164" fontId="2" fillId="8" borderId="3" xfId="0" applyNumberFormat="1" applyFont="1" applyFill="1" applyBorder="1" applyAlignment="1">
      <alignment horizontal="left" vertical="center"/>
    </xf>
    <xf numFmtId="164" fontId="10" fillId="8" borderId="3" xfId="0" applyNumberFormat="1" applyFont="1" applyFill="1" applyBorder="1" applyAlignment="1">
      <alignment horizontal="left" vertical="center"/>
    </xf>
    <xf numFmtId="0" fontId="0" fillId="8" borderId="0" xfId="0" applyFill="1"/>
    <xf numFmtId="164" fontId="0" fillId="8" borderId="3" xfId="0" applyNumberFormat="1" applyFill="1" applyBorder="1" applyAlignment="1">
      <alignment horizontal="center" vertical="center"/>
    </xf>
    <xf numFmtId="164" fontId="2" fillId="8" borderId="3" xfId="0" applyNumberFormat="1" applyFont="1" applyFill="1" applyBorder="1" applyAlignment="1">
      <alignment horizontal="center" vertical="center"/>
    </xf>
    <xf numFmtId="164" fontId="10" fillId="8" borderId="3" xfId="0" applyNumberFormat="1" applyFont="1" applyFill="1" applyBorder="1" applyAlignment="1">
      <alignment horizontal="center" vertical="center"/>
    </xf>
  </cellXfs>
  <cellStyles count="2">
    <cellStyle name="Millares" xfId="1" builtinId="3"/>
    <cellStyle name="Normal" xfId="0" builtinId="0"/>
  </cellStyles>
  <dxfs count="45">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alignment vertical="center"/>
    </dxf>
    <dxf>
      <font>
        <b/>
        <i val="0"/>
        <strike val="0"/>
        <condense val="0"/>
        <extend val="0"/>
        <outline val="0"/>
        <shadow val="0"/>
        <u val="none"/>
        <vertAlign val="baseline"/>
        <sz val="11"/>
        <color theme="1"/>
        <name val="Aptos Narrow"/>
        <family val="2"/>
        <scheme val="minor"/>
      </font>
      <fill>
        <patternFill patternType="solid">
          <fgColor indexed="64"/>
          <bgColor theme="2" tint="-0.249977111117893"/>
        </patternFill>
      </fill>
      <alignment horizontal="center" vertical="center" textRotation="0" wrapText="1" indent="0" justifyLastLine="0" shrinkToFit="0" readingOrder="0"/>
      <border diagonalUp="0" diagonalDown="0">
        <left style="thin">
          <color rgb="FF000000"/>
        </left>
        <right style="thin">
          <color rgb="FF000000"/>
        </right>
        <top/>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0" formatCode="Genera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165" formatCode="dd/mm/yy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numFmt numFmtId="165" formatCode="dd/mm/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minor"/>
      </font>
      <numFmt numFmtId="165" formatCode="dd/mm/yyyy"/>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color auto="1"/>
      </font>
      <numFmt numFmtId="165" formatCode="dd/mm/yyyy"/>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164" formatCode="yyyy\-mm\-dd;@"/>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numFmt numFmtId="164" formatCode="yyyy\-mm\-dd;@"/>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numFmt numFmtId="164" formatCode="yyyy\-mm\-dd;@"/>
      <fill>
        <patternFill>
          <fgColor indexed="64"/>
          <bgColor rgb="FFFFFF00"/>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7" formatCode="m/d/yyyy"/>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numFmt numFmtId="164" formatCode="yyyy\-mm\-dd;@"/>
      <fill>
        <patternFill>
          <fgColor indexed="64"/>
          <bgColor rgb="FFFFFF00"/>
        </patternFill>
      </fill>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5" formatCode="dd/mm/yy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general" vertical="center"/>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vertical="center"/>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right" vertical="center"/>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ptos Narrow"/>
        <family val="2"/>
        <scheme val="none"/>
      </font>
      <fill>
        <patternFill patternType="solid">
          <fgColor rgb="FF000000"/>
          <bgColor rgb="FFFFFFFF"/>
        </patternFill>
      </fill>
      <alignment horizontal="right" vertical="center"/>
      <border diagonalUp="0" diagonalDown="0">
        <left style="thin">
          <color rgb="FF000000"/>
        </left>
        <right style="thin">
          <color rgb="FF000000"/>
        </right>
        <top style="thin">
          <color rgb="FF000000"/>
        </top>
        <bottom style="thin">
          <color rgb="FF000000"/>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164" formatCode="yyyy\-mm\-dd;@"/>
      <fill>
        <patternFill patternType="none">
          <fgColor indexed="64"/>
          <bgColor indexed="65"/>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indexed="65"/>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20R%20O%20B%20O%20O%20K\AppData\Local\Packages\5319275A.WhatsAppDesktop_cv1g1gvanyjgm\LocalState\sessions\55783A124208322E38D15FED32C3686338BA313A\transfers\2026-41\STATUS%20(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queda"/>
      <sheetName val="DATA RIM"/>
      <sheetName val="RIM NEGADO.VENCIDO"/>
      <sheetName val="RETIE"/>
      <sheetName val="C. CARENCIA"/>
      <sheetName val="CERT. RETIE"/>
      <sheetName val="VENC. DOCS VO.BO"/>
      <sheetName val="Hoja1"/>
      <sheetName val="REP. DANI"/>
      <sheetName val="VALID RIM NUEVAM"/>
    </sheetNames>
    <sheetDataSet>
      <sheetData sheetId="0"/>
      <sheetData sheetId="1"/>
      <sheetData sheetId="2"/>
      <sheetData sheetId="3"/>
      <sheetData sheetId="4"/>
      <sheetData sheetId="5"/>
      <sheetData sheetId="6"/>
      <sheetData sheetId="7"/>
      <sheetData sheetId="8"/>
      <sheetData sheetId="9">
        <row r="1">
          <cell r="A1" t="str">
            <v>&amp;</v>
          </cell>
          <cell r="B1" t="str">
            <v>NOMBRE PRODUCTO</v>
          </cell>
          <cell r="C1" t="str">
            <v>DO IMPO</v>
          </cell>
          <cell r="D1" t="str">
            <v>PEDIDO</v>
          </cell>
          <cell r="E1" t="str">
            <v>SKU</v>
          </cell>
          <cell r="F1" t="str">
            <v>REFERENCIA/CODIGO PRODUCTO</v>
          </cell>
          <cell r="G1" t="str">
            <v>PA</v>
          </cell>
          <cell r="H1" t="str">
            <v>EXPEDIENTE</v>
          </cell>
          <cell r="I1" t="str">
            <v>DOCUMENTO</v>
          </cell>
          <cell r="J1" t="str">
            <v>VIGENCIA VO.BO</v>
          </cell>
          <cell r="K1" t="str">
            <v>VOBO</v>
          </cell>
          <cell r="L1" t="str">
            <v>PROVEEDOR</v>
          </cell>
          <cell r="M1" t="str">
            <v>USO</v>
          </cell>
          <cell r="N1" t="str">
            <v>PRESENTACIÓN COMERCIAL</v>
          </cell>
          <cell r="O1" t="str">
            <v>VALOR UNIT</v>
          </cell>
        </row>
        <row r="2">
          <cell r="A2" t="str">
            <v>XA009225302ANHUI CHARDON ELECTRIC LIMITED</v>
          </cell>
          <cell r="B2" t="str">
            <v>XA009225302</v>
          </cell>
          <cell r="C2" t="str">
            <v>36-FDT630</v>
          </cell>
          <cell r="D2" t="str">
            <v>8535909000</v>
          </cell>
          <cell r="E2" t="str">
            <v>N/A</v>
          </cell>
          <cell r="F2">
            <v>2538</v>
          </cell>
          <cell r="G2">
            <v>47877</v>
          </cell>
          <cell r="H2" t="str">
            <v>RETIE/ MINCOMERCIO (OK CERT. MERCURIO)</v>
          </cell>
          <cell r="I2" t="str">
            <v>ANHUI CHARDON ELECTRIC LIMITED</v>
          </cell>
          <cell r="J2">
            <v>156.29</v>
          </cell>
          <cell r="K2" t="str">
            <v>USD</v>
          </cell>
          <cell r="L2" t="str">
            <v>CN,MX</v>
          </cell>
          <cell r="M2" t="str">
            <v>UNIDADES</v>
          </cell>
          <cell r="N2">
            <v>2688402</v>
          </cell>
          <cell r="O2">
            <v>2670812</v>
          </cell>
        </row>
        <row r="3">
          <cell r="A3" t="str">
            <v>XA009228470ANHUI CHARDON ELECTRIC LIMITED</v>
          </cell>
          <cell r="B3" t="str">
            <v>XA009228470</v>
          </cell>
          <cell r="C3" t="str">
            <v>24-RDT630</v>
          </cell>
          <cell r="D3" t="str">
            <v>8535909000</v>
          </cell>
          <cell r="E3" t="str">
            <v>N/A</v>
          </cell>
          <cell r="F3">
            <v>2538</v>
          </cell>
          <cell r="G3">
            <v>47877</v>
          </cell>
          <cell r="H3" t="str">
            <v>RETIE/ MINCOMERCIO (OK CERT. MERCURIO)</v>
          </cell>
          <cell r="I3" t="str">
            <v>ANHUI CHARDON ELECTRIC LIMITED</v>
          </cell>
          <cell r="J3">
            <v>81.12</v>
          </cell>
          <cell r="K3" t="str">
            <v>USD</v>
          </cell>
          <cell r="L3" t="str">
            <v>CN,MX</v>
          </cell>
          <cell r="M3" t="str">
            <v>UNIDADES</v>
          </cell>
          <cell r="N3">
            <v>2688402</v>
          </cell>
          <cell r="O3">
            <v>2670812</v>
          </cell>
        </row>
        <row r="4">
          <cell r="A4" t="str">
            <v>XA009228389ANHUI CHARDON ELECTRIC LIMITED</v>
          </cell>
          <cell r="B4" t="str">
            <v>XA009228389</v>
          </cell>
          <cell r="C4" t="str">
            <v>42-RDT1250</v>
          </cell>
          <cell r="D4" t="str">
            <v>8535909000</v>
          </cell>
          <cell r="E4" t="str">
            <v>N/A</v>
          </cell>
          <cell r="F4">
            <v>2538</v>
          </cell>
          <cell r="G4">
            <v>47877</v>
          </cell>
          <cell r="H4" t="str">
            <v>RETIE/ MINCOMERCIO (OK CERT. MERCURIO)</v>
          </cell>
          <cell r="I4" t="str">
            <v>ANHUI CHARDON ELECTRIC LIMITED</v>
          </cell>
          <cell r="J4">
            <v>327.64999999999998</v>
          </cell>
          <cell r="K4" t="str">
            <v>USD</v>
          </cell>
          <cell r="L4" t="str">
            <v>CN,MX</v>
          </cell>
          <cell r="M4" t="str">
            <v>UNIDADES</v>
          </cell>
          <cell r="N4">
            <v>2688402</v>
          </cell>
          <cell r="O4">
            <v>2670812</v>
          </cell>
        </row>
        <row r="5">
          <cell r="A5" t="str">
            <v>XA009228405ANHUI CHARDON ELECTRIC LIMITED</v>
          </cell>
          <cell r="B5" t="str">
            <v>XA009228405</v>
          </cell>
          <cell r="C5" t="str">
            <v>SBC-B-500-630/3</v>
          </cell>
          <cell r="D5" t="str">
            <v>8535909000</v>
          </cell>
          <cell r="E5" t="str">
            <v>N/A</v>
          </cell>
          <cell r="F5">
            <v>2538</v>
          </cell>
          <cell r="G5">
            <v>47877</v>
          </cell>
          <cell r="H5" t="str">
            <v>RETIE/ MINCOMERCIO (OK CERT. MERCURIO)</v>
          </cell>
          <cell r="I5" t="str">
            <v>ANHUI CHARDON ELECTRIC LIMITED</v>
          </cell>
          <cell r="J5">
            <v>86.66</v>
          </cell>
          <cell r="K5" t="str">
            <v>USD</v>
          </cell>
          <cell r="L5" t="str">
            <v>CN,MX</v>
          </cell>
          <cell r="M5" t="str">
            <v>UNIDADES</v>
          </cell>
          <cell r="N5">
            <v>2688402</v>
          </cell>
          <cell r="O5">
            <v>2670812</v>
          </cell>
        </row>
        <row r="6">
          <cell r="A6" t="str">
            <v>XA009227753ANHUI CHARDON ELECTRIC LIMITED</v>
          </cell>
          <cell r="B6" t="str">
            <v>XA009227753</v>
          </cell>
          <cell r="C6" t="str">
            <v>42-FDT1250</v>
          </cell>
          <cell r="D6" t="str">
            <v>8535909000</v>
          </cell>
          <cell r="E6" t="str">
            <v>N/A</v>
          </cell>
          <cell r="F6">
            <v>2538</v>
          </cell>
          <cell r="G6">
            <v>47877</v>
          </cell>
          <cell r="H6" t="str">
            <v>RETIE/ MINCOMERCIO (OK CERT. MERCURIO)</v>
          </cell>
          <cell r="I6" t="str">
            <v>ANHUI CHARDON ELECTRIC LIMITED</v>
          </cell>
          <cell r="J6">
            <v>276.73</v>
          </cell>
          <cell r="K6" t="str">
            <v>USD</v>
          </cell>
          <cell r="L6" t="str">
            <v>CN,MX</v>
          </cell>
          <cell r="M6" t="str">
            <v>UNIDADES</v>
          </cell>
          <cell r="N6">
            <v>2688402</v>
          </cell>
          <cell r="O6">
            <v>2670812</v>
          </cell>
        </row>
        <row r="7">
          <cell r="A7" t="str">
            <v>XA009225450ANHUI CHARDON ELECTRIC LIMITED</v>
          </cell>
          <cell r="B7" t="str">
            <v>XA009225450</v>
          </cell>
          <cell r="C7" t="str">
            <v>SBC-B-300-400/3-AL</v>
          </cell>
          <cell r="D7" t="str">
            <v>8535909000</v>
          </cell>
          <cell r="E7" t="str">
            <v>N/A</v>
          </cell>
          <cell r="F7">
            <v>2538</v>
          </cell>
          <cell r="G7">
            <v>47877</v>
          </cell>
          <cell r="H7" t="str">
            <v>RETIE/ MINCOMERCIO (OK CERT. MERCURIO)</v>
          </cell>
          <cell r="I7" t="str">
            <v>ANHUI CHARDON ELECTRIC LIMITED</v>
          </cell>
          <cell r="J7">
            <v>49.53</v>
          </cell>
          <cell r="K7" t="str">
            <v>USD</v>
          </cell>
          <cell r="L7" t="str">
            <v>CN,MX</v>
          </cell>
          <cell r="M7" t="str">
            <v>UNIDADES</v>
          </cell>
          <cell r="N7">
            <v>2688402</v>
          </cell>
          <cell r="O7">
            <v>2670812</v>
          </cell>
        </row>
        <row r="8">
          <cell r="A8" t="str">
            <v>XA009228454ANHUI CHARDON ELECTRIC LIMITED</v>
          </cell>
          <cell r="B8" t="str">
            <v>XA009228454</v>
          </cell>
          <cell r="C8" t="str">
            <v>24-FDT630</v>
          </cell>
          <cell r="D8" t="str">
            <v>8535909000</v>
          </cell>
          <cell r="E8" t="str">
            <v>N/A</v>
          </cell>
          <cell r="F8">
            <v>2538</v>
          </cell>
          <cell r="G8">
            <v>47877</v>
          </cell>
          <cell r="H8" t="str">
            <v>RETIE/ MINCOMERCIO (OK CERT. MERCURIO)</v>
          </cell>
          <cell r="I8" t="str">
            <v>ANHUI CHARDON ELECTRIC LIMITED</v>
          </cell>
          <cell r="J8">
            <v>75.03</v>
          </cell>
          <cell r="K8" t="str">
            <v>USD</v>
          </cell>
          <cell r="L8" t="str">
            <v>CN,MX</v>
          </cell>
          <cell r="M8" t="str">
            <v>UNIDADES</v>
          </cell>
          <cell r="N8">
            <v>2688402</v>
          </cell>
          <cell r="O8">
            <v>2670812</v>
          </cell>
        </row>
        <row r="9">
          <cell r="A9" t="str">
            <v>XA009224586ANHUI CHARDON ELECTRIC LIMITED</v>
          </cell>
          <cell r="B9" t="str">
            <v>XA009224586</v>
          </cell>
          <cell r="C9" t="str">
            <v>SBC-B-70-95/1-AL</v>
          </cell>
          <cell r="D9" t="str">
            <v>8535909000</v>
          </cell>
          <cell r="E9" t="str">
            <v>N/A</v>
          </cell>
          <cell r="F9">
            <v>2538</v>
          </cell>
          <cell r="G9">
            <v>47877</v>
          </cell>
          <cell r="H9" t="str">
            <v>RETIE/ MINCOMERCIO (OK CERT. MERCURIO)</v>
          </cell>
          <cell r="I9" t="str">
            <v>ANHUI CHARDON ELECTRIC LIMITED</v>
          </cell>
          <cell r="J9">
            <v>26.36</v>
          </cell>
          <cell r="K9" t="str">
            <v>USD</v>
          </cell>
          <cell r="L9" t="str">
            <v>CN,MX</v>
          </cell>
          <cell r="M9" t="str">
            <v>UNIDADES</v>
          </cell>
          <cell r="N9">
            <v>2688402</v>
          </cell>
          <cell r="O9">
            <v>2670812</v>
          </cell>
        </row>
        <row r="10">
          <cell r="A10" t="str">
            <v>XA009225393ANHUI CHARDON ELECTRIC LIMITED</v>
          </cell>
          <cell r="B10" t="str">
            <v>XA009225393</v>
          </cell>
          <cell r="C10" t="str">
            <v>36-ADP-LG</v>
          </cell>
          <cell r="D10">
            <v>8547909000</v>
          </cell>
          <cell r="E10" t="str">
            <v>N/A</v>
          </cell>
          <cell r="F10">
            <v>2538</v>
          </cell>
          <cell r="G10">
            <v>47877</v>
          </cell>
          <cell r="H10" t="str">
            <v>RETIE/ MINCOMERCIO (OK CERT. MERCURIO)</v>
          </cell>
          <cell r="I10" t="str">
            <v>ANHUI CHARDON ELECTRIC LIMITED</v>
          </cell>
          <cell r="J10">
            <v>21.96</v>
          </cell>
          <cell r="K10" t="str">
            <v>USD</v>
          </cell>
          <cell r="L10" t="str">
            <v>CN,MX</v>
          </cell>
          <cell r="M10" t="str">
            <v>UNIDADES</v>
          </cell>
          <cell r="N10">
            <v>2688402</v>
          </cell>
          <cell r="O10">
            <v>2670812</v>
          </cell>
        </row>
        <row r="11">
          <cell r="A11" t="str">
            <v>XA009225419ANHUI CHARDON ELECTRIC LIMITED</v>
          </cell>
          <cell r="B11" t="str">
            <v>XA009225419</v>
          </cell>
          <cell r="C11" t="str">
            <v>36-ADP-LJ</v>
          </cell>
          <cell r="D11">
            <v>8547909000</v>
          </cell>
          <cell r="E11" t="str">
            <v>N/A</v>
          </cell>
          <cell r="F11">
            <v>2538</v>
          </cell>
          <cell r="G11">
            <v>47877</v>
          </cell>
          <cell r="H11" t="str">
            <v>RETIE/ MINCOMERCIO (OK CERT. MERCURIO)</v>
          </cell>
          <cell r="I11" t="str">
            <v>ANHUI CHARDON ELECTRIC LIMITED</v>
          </cell>
          <cell r="J11">
            <v>20.86</v>
          </cell>
          <cell r="K11" t="str">
            <v>USD</v>
          </cell>
          <cell r="L11" t="str">
            <v>CN,MX</v>
          </cell>
          <cell r="M11" t="str">
            <v>UNIDADES</v>
          </cell>
          <cell r="N11">
            <v>2688402</v>
          </cell>
          <cell r="O11">
            <v>2670812</v>
          </cell>
        </row>
        <row r="12">
          <cell r="A12" t="str">
            <v>XA009225427ANHUI CHARDON ELECTRIC LIMITED</v>
          </cell>
          <cell r="B12" t="str">
            <v>XA009225427</v>
          </cell>
          <cell r="C12" t="str">
            <v>36-ADP-LI</v>
          </cell>
          <cell r="D12">
            <v>8547909000</v>
          </cell>
          <cell r="E12" t="str">
            <v>N/A</v>
          </cell>
          <cell r="F12">
            <v>2538</v>
          </cell>
          <cell r="G12">
            <v>47877</v>
          </cell>
          <cell r="H12" t="str">
            <v>RETIE/ MINCOMERCIO (OK CERT. MERCURIO)</v>
          </cell>
          <cell r="I12" t="str">
            <v>ANHUI CHARDON ELECTRIC LIMITED</v>
          </cell>
          <cell r="J12">
            <v>20.86</v>
          </cell>
          <cell r="K12" t="str">
            <v>USD</v>
          </cell>
          <cell r="L12" t="str">
            <v>CN,MX</v>
          </cell>
          <cell r="M12" t="str">
            <v>UNIDADES</v>
          </cell>
          <cell r="N12">
            <v>2688402</v>
          </cell>
          <cell r="O12">
            <v>2670812</v>
          </cell>
        </row>
        <row r="13">
          <cell r="A13" t="str">
            <v>XA009225401ANHUI CHARDON ELECTRIC LIMITED</v>
          </cell>
          <cell r="B13" t="str">
            <v>XA009225401</v>
          </cell>
          <cell r="C13" t="str">
            <v>36-ADP-LH</v>
          </cell>
          <cell r="D13">
            <v>8550000000</v>
          </cell>
          <cell r="E13" t="str">
            <v>N/A</v>
          </cell>
          <cell r="F13">
            <v>2538</v>
          </cell>
          <cell r="G13">
            <v>47877</v>
          </cell>
          <cell r="H13" t="str">
            <v>RETIE/ MINCOMERCIO (OK CERT. MERCURIO)</v>
          </cell>
          <cell r="I13" t="str">
            <v>ANHUI CHARDON ELECTRIC LIMITED</v>
          </cell>
          <cell r="J13">
            <v>21.96</v>
          </cell>
          <cell r="K13" t="str">
            <v>USD</v>
          </cell>
          <cell r="L13" t="str">
            <v>CN,MX</v>
          </cell>
          <cell r="M13" t="str">
            <v>UNIDADES</v>
          </cell>
          <cell r="N13">
            <v>2688402</v>
          </cell>
          <cell r="O13">
            <v>2670812</v>
          </cell>
        </row>
        <row r="14">
          <cell r="A14" t="str">
            <v>XA009225377ANHUI CHARDON ELECTRIC LIMITED</v>
          </cell>
          <cell r="B14" t="str">
            <v>XA009225377</v>
          </cell>
          <cell r="C14" t="str">
            <v>36-ADP-LF</v>
          </cell>
          <cell r="D14">
            <v>8550000000</v>
          </cell>
          <cell r="E14" t="str">
            <v>N/A</v>
          </cell>
          <cell r="F14">
            <v>2538</v>
          </cell>
          <cell r="G14">
            <v>47877</v>
          </cell>
          <cell r="H14" t="str">
            <v>RETIE/ MINCOMERCIO (OK CERT. MERCURIO)</v>
          </cell>
          <cell r="I14" t="str">
            <v>ANHUI CHARDON ELECTRIC LIMITED</v>
          </cell>
          <cell r="J14">
            <v>21.96</v>
          </cell>
          <cell r="K14" t="str">
            <v>USD</v>
          </cell>
          <cell r="L14" t="str">
            <v>CN,MX</v>
          </cell>
          <cell r="M14" t="str">
            <v>UNIDADES</v>
          </cell>
          <cell r="N14">
            <v>2688402</v>
          </cell>
          <cell r="O14">
            <v>2670812</v>
          </cell>
        </row>
        <row r="15">
          <cell r="A15" t="str">
            <v>XA009228512ANHUI CHARDON ELECTRIC LIMITED</v>
          </cell>
          <cell r="B15" t="str">
            <v>XA009228512</v>
          </cell>
          <cell r="C15" t="str">
            <v>24-ADP-D</v>
          </cell>
          <cell r="D15">
            <v>8550000000</v>
          </cell>
          <cell r="E15" t="str">
            <v>N/A</v>
          </cell>
          <cell r="F15">
            <v>2538</v>
          </cell>
          <cell r="G15">
            <v>47877</v>
          </cell>
          <cell r="H15" t="str">
            <v>RETIE/ MINCOMERCIO (OK CERT. MERCURIO)</v>
          </cell>
          <cell r="I15" t="str">
            <v>ANHUI CHARDON ELECTRIC LIMITED</v>
          </cell>
          <cell r="J15">
            <v>8.11</v>
          </cell>
          <cell r="K15" t="str">
            <v>USD</v>
          </cell>
          <cell r="L15" t="str">
            <v>CN,MX</v>
          </cell>
          <cell r="M15" t="str">
            <v>UNIDADES</v>
          </cell>
          <cell r="N15">
            <v>2688402</v>
          </cell>
          <cell r="O15">
            <v>2665570</v>
          </cell>
        </row>
        <row r="16">
          <cell r="A16" t="str">
            <v>XA009228504ANHUI CHARDON ELECTRIC LIMITED</v>
          </cell>
          <cell r="B16" t="str">
            <v>XA009228504</v>
          </cell>
          <cell r="C16" t="str">
            <v>24-ADP-C</v>
          </cell>
          <cell r="D16">
            <v>8550000000</v>
          </cell>
          <cell r="E16" t="str">
            <v>N/A</v>
          </cell>
          <cell r="F16">
            <v>2538</v>
          </cell>
          <cell r="G16">
            <v>47877</v>
          </cell>
          <cell r="H16" t="str">
            <v>RETIE/ MINCOMERCIO (OK CERT. MERCURIO)</v>
          </cell>
          <cell r="I16" t="str">
            <v>ANHUI CHARDON ELECTRIC LIMITED</v>
          </cell>
          <cell r="J16">
            <v>8.5299999999999994</v>
          </cell>
          <cell r="K16" t="str">
            <v>USD</v>
          </cell>
          <cell r="L16" t="str">
            <v>CN,MX</v>
          </cell>
          <cell r="M16" t="str">
            <v>UNIDADES</v>
          </cell>
          <cell r="N16">
            <v>2688402</v>
          </cell>
          <cell r="O16">
            <v>2665570</v>
          </cell>
        </row>
        <row r="17">
          <cell r="A17" t="str">
            <v>XA009228496ANHUI CHARDON ELECTRIC LIMITED</v>
          </cell>
          <cell r="B17" t="str">
            <v>XA009228496</v>
          </cell>
          <cell r="C17" t="str">
            <v>24-ADP-B</v>
          </cell>
          <cell r="D17">
            <v>8550000000</v>
          </cell>
          <cell r="E17" t="str">
            <v>N/A</v>
          </cell>
          <cell r="F17">
            <v>2538</v>
          </cell>
          <cell r="G17">
            <v>47877</v>
          </cell>
          <cell r="H17" t="str">
            <v>RETIE/ MINCOMERCIO (OK CERT. MERCURIO)</v>
          </cell>
          <cell r="I17" t="str">
            <v>ANHUI CHARDON ELECTRIC LIMITED</v>
          </cell>
          <cell r="J17">
            <v>8.5299999999999994</v>
          </cell>
          <cell r="K17" t="str">
            <v>USD</v>
          </cell>
          <cell r="L17" t="str">
            <v>CN,MX</v>
          </cell>
          <cell r="M17" t="str">
            <v>UNIDADES</v>
          </cell>
          <cell r="N17">
            <v>2688402</v>
          </cell>
          <cell r="O17">
            <v>2665570</v>
          </cell>
        </row>
        <row r="18">
          <cell r="A18" t="str">
            <v>XA009228488ANHUI CHARDON ELECTRIC LIMITED</v>
          </cell>
          <cell r="B18" t="str">
            <v>XA009228488</v>
          </cell>
          <cell r="C18" t="str">
            <v>24-ADP-A</v>
          </cell>
          <cell r="D18">
            <v>8550000000</v>
          </cell>
          <cell r="E18" t="str">
            <v>N/A</v>
          </cell>
          <cell r="F18">
            <v>2538</v>
          </cell>
          <cell r="G18">
            <v>47877</v>
          </cell>
          <cell r="H18" t="str">
            <v>RETIE/ MINCOMERCIO (OK CERT. MERCURIO)</v>
          </cell>
          <cell r="I18" t="str">
            <v>ANHUI CHARDON ELECTRIC LIMITED</v>
          </cell>
          <cell r="J18">
            <v>8.5299999999999994</v>
          </cell>
          <cell r="K18" t="str">
            <v>USD</v>
          </cell>
          <cell r="L18" t="str">
            <v>CN,MX</v>
          </cell>
          <cell r="M18" t="str">
            <v>UNIDADES</v>
          </cell>
          <cell r="N18">
            <v>2688402</v>
          </cell>
          <cell r="O18">
            <v>2665570</v>
          </cell>
        </row>
        <row r="19">
          <cell r="A19" t="str">
            <v>XA009228710ANHUI CHARDON ELECTRIC LIMITED</v>
          </cell>
          <cell r="B19" t="str">
            <v>XA009228710</v>
          </cell>
          <cell r="C19" t="str">
            <v>42-ADP-U</v>
          </cell>
          <cell r="D19">
            <v>8550000000</v>
          </cell>
          <cell r="E19" t="str">
            <v>N/A</v>
          </cell>
          <cell r="F19">
            <v>2538</v>
          </cell>
          <cell r="G19">
            <v>47877</v>
          </cell>
          <cell r="H19" t="str">
            <v>RETIE/ MINCOMERCIO (OK CERT. MERCURIO)</v>
          </cell>
          <cell r="I19" t="str">
            <v>ANHUI CHARDON ELECTRIC LIMITED</v>
          </cell>
          <cell r="J19">
            <v>29.96</v>
          </cell>
          <cell r="K19" t="str">
            <v>USD</v>
          </cell>
          <cell r="L19" t="str">
            <v>CN,MX</v>
          </cell>
          <cell r="M19" t="str">
            <v>UNIDADES</v>
          </cell>
          <cell r="N19">
            <v>2688402</v>
          </cell>
          <cell r="O19">
            <v>2665570</v>
          </cell>
        </row>
        <row r="20">
          <cell r="A20" t="str">
            <v>XA009228397ANHUI CHARDON ELECTRIC LIMITED</v>
          </cell>
          <cell r="B20" t="str">
            <v>XA009228397</v>
          </cell>
          <cell r="C20" t="str">
            <v>42-ADP-T</v>
          </cell>
          <cell r="D20">
            <v>8550000000</v>
          </cell>
          <cell r="E20" t="str">
            <v>N/A</v>
          </cell>
          <cell r="F20">
            <v>2538</v>
          </cell>
          <cell r="G20">
            <v>47877</v>
          </cell>
          <cell r="H20" t="str">
            <v>RETIE/ MINCOMERCIO (OK CERT. MERCURIO)</v>
          </cell>
          <cell r="I20" t="str">
            <v>ANHUI CHARDON ELECTRIC LIMITED</v>
          </cell>
          <cell r="J20">
            <v>29.96</v>
          </cell>
          <cell r="K20" t="str">
            <v>USD</v>
          </cell>
          <cell r="L20" t="str">
            <v>CN,MX</v>
          </cell>
          <cell r="M20" t="str">
            <v>UNIDADES</v>
          </cell>
          <cell r="N20">
            <v>2688402</v>
          </cell>
          <cell r="O20">
            <v>2665570</v>
          </cell>
        </row>
        <row r="21">
          <cell r="A21" t="str">
            <v>XA009227779ANHUI CHARDON ELECTRIC LIMITED</v>
          </cell>
          <cell r="B21" t="str">
            <v>XA009227779</v>
          </cell>
          <cell r="C21" t="str">
            <v>42-ADP-S</v>
          </cell>
          <cell r="D21">
            <v>8550000000</v>
          </cell>
          <cell r="E21" t="str">
            <v>N/A</v>
          </cell>
          <cell r="F21">
            <v>2538</v>
          </cell>
          <cell r="G21">
            <v>47877</v>
          </cell>
          <cell r="H21" t="str">
            <v>RETIE/ MINCOMERCIO (OK CERT. MERCURIO)</v>
          </cell>
          <cell r="I21" t="str">
            <v>ANHUI CHARDON ELECTRIC LIMITED</v>
          </cell>
          <cell r="J21">
            <v>29.96</v>
          </cell>
          <cell r="K21" t="str">
            <v>USD</v>
          </cell>
          <cell r="L21" t="str">
            <v>CN,MX</v>
          </cell>
          <cell r="M21" t="str">
            <v>UNIDADES</v>
          </cell>
          <cell r="N21">
            <v>2688402</v>
          </cell>
          <cell r="O21">
            <v>2665570</v>
          </cell>
        </row>
        <row r="22">
          <cell r="A22" t="str">
            <v>XA009228694ANHUI CHARDON ELECTRIC LIMITED</v>
          </cell>
          <cell r="B22" t="str">
            <v>XA009228694</v>
          </cell>
          <cell r="C22" t="str">
            <v>42-ADP-P</v>
          </cell>
          <cell r="D22">
            <v>8550000000</v>
          </cell>
          <cell r="E22" t="str">
            <v>N/A</v>
          </cell>
          <cell r="F22">
            <v>2538</v>
          </cell>
          <cell r="G22">
            <v>47877</v>
          </cell>
          <cell r="H22" t="str">
            <v>RETIE/ MINCOMERCIO (OK CERT. MERCURIO)</v>
          </cell>
          <cell r="I22" t="str">
            <v>ANHUI CHARDON ELECTRIC LIMITED</v>
          </cell>
          <cell r="J22">
            <v>31.55</v>
          </cell>
          <cell r="K22" t="str">
            <v>USD</v>
          </cell>
          <cell r="L22" t="str">
            <v>CN,MX</v>
          </cell>
          <cell r="M22" t="str">
            <v>UNIDADES</v>
          </cell>
          <cell r="N22">
            <v>2688402</v>
          </cell>
          <cell r="O22">
            <v>2665570</v>
          </cell>
        </row>
        <row r="23">
          <cell r="A23" t="str">
            <v>XA009228686ANHUI CHARDON ELECTRIC LIMITED</v>
          </cell>
          <cell r="B23" t="str">
            <v>XA009228686</v>
          </cell>
          <cell r="C23" t="str">
            <v>42-ADP-N</v>
          </cell>
          <cell r="D23">
            <v>8550000000</v>
          </cell>
          <cell r="E23" t="str">
            <v>N/A</v>
          </cell>
          <cell r="F23">
            <v>2538</v>
          </cell>
          <cell r="G23">
            <v>47877</v>
          </cell>
          <cell r="H23" t="str">
            <v>RETIE/ MINCOMERCIO (OK CERT. MERCURIO)</v>
          </cell>
          <cell r="I23" t="str">
            <v>ANHUI CHARDON ELECTRIC LIMITED</v>
          </cell>
          <cell r="J23">
            <v>31.55</v>
          </cell>
          <cell r="K23" t="str">
            <v>USD</v>
          </cell>
          <cell r="L23" t="str">
            <v>CN,MX</v>
          </cell>
          <cell r="M23" t="str">
            <v>UNIDADES</v>
          </cell>
          <cell r="N23">
            <v>2688402</v>
          </cell>
          <cell r="O23">
            <v>2665570</v>
          </cell>
        </row>
        <row r="24">
          <cell r="A24" t="str">
            <v>XA009227761ANHUI CHARDON ELECTRIC LIMITED</v>
          </cell>
          <cell r="B24" t="str">
            <v>XA009227761</v>
          </cell>
          <cell r="C24" t="str">
            <v>42-ADP-M</v>
          </cell>
          <cell r="D24">
            <v>8550000000</v>
          </cell>
          <cell r="E24" t="str">
            <v>N/A</v>
          </cell>
          <cell r="F24">
            <v>2538</v>
          </cell>
          <cell r="G24">
            <v>47877</v>
          </cell>
          <cell r="H24" t="str">
            <v>RETIE/ MINCOMERCIO (OK CERT. MERCURIO)</v>
          </cell>
          <cell r="I24" t="str">
            <v>ANHUI CHARDON ELECTRIC LIMITED</v>
          </cell>
          <cell r="J24">
            <v>31.55</v>
          </cell>
          <cell r="K24" t="str">
            <v>USD</v>
          </cell>
          <cell r="L24" t="str">
            <v>CN,MX</v>
          </cell>
          <cell r="M24" t="str">
            <v>UNIDADES</v>
          </cell>
          <cell r="N24">
            <v>2688402</v>
          </cell>
          <cell r="O24">
            <v>2665570</v>
          </cell>
        </row>
        <row r="25">
          <cell r="A25" t="str">
            <v>XA009228678ANHUI CHARDON ELECTRIC LIMITED</v>
          </cell>
          <cell r="B25" t="str">
            <v>XA009228678</v>
          </cell>
          <cell r="C25" t="str">
            <v>42-ADP-L</v>
          </cell>
          <cell r="D25">
            <v>8550000000</v>
          </cell>
          <cell r="E25" t="str">
            <v>N/A</v>
          </cell>
          <cell r="F25">
            <v>2538</v>
          </cell>
          <cell r="G25">
            <v>47877</v>
          </cell>
          <cell r="H25" t="str">
            <v>RETIE/ MINCOMERCIO (OK CERT. MERCURIO)</v>
          </cell>
          <cell r="I25" t="str">
            <v>ANHUI CHARDON ELECTRIC LIMITED</v>
          </cell>
          <cell r="J25">
            <v>31.55</v>
          </cell>
          <cell r="K25" t="str">
            <v>USD</v>
          </cell>
          <cell r="L25" t="str">
            <v>CN,MX</v>
          </cell>
          <cell r="M25" t="str">
            <v>UNIDADES</v>
          </cell>
          <cell r="N25">
            <v>2688402</v>
          </cell>
          <cell r="O25">
            <v>2665570</v>
          </cell>
        </row>
        <row r="26">
          <cell r="A26" t="str">
            <v>XA009228660ANHUI CHARDON ELECTRIC LIMITED</v>
          </cell>
          <cell r="B26" t="str">
            <v>XA009228660</v>
          </cell>
          <cell r="C26" t="str">
            <v>42-ADP-K</v>
          </cell>
          <cell r="D26">
            <v>8550000000</v>
          </cell>
          <cell r="E26" t="str">
            <v>N/A</v>
          </cell>
          <cell r="F26">
            <v>2538</v>
          </cell>
          <cell r="G26">
            <v>47877</v>
          </cell>
          <cell r="H26" t="str">
            <v>RETIE/ MINCOMERCIO (OK CERT. MERCURIO)</v>
          </cell>
          <cell r="I26" t="str">
            <v>ANHUI CHARDON ELECTRIC LIMITED</v>
          </cell>
          <cell r="J26">
            <v>31.55</v>
          </cell>
          <cell r="K26" t="str">
            <v>USD</v>
          </cell>
          <cell r="L26" t="str">
            <v>CN,MX</v>
          </cell>
          <cell r="M26" t="str">
            <v>UNIDADES</v>
          </cell>
          <cell r="N26">
            <v>2688402</v>
          </cell>
        </row>
        <row r="27">
          <cell r="A27" t="str">
            <v>XA009229437ANHUI CHARDON ELECTRIC LIMITED</v>
          </cell>
          <cell r="B27" t="str">
            <v>XA009229437</v>
          </cell>
          <cell r="C27" t="str">
            <v>24-CE250T/24-CL250/24-CL250T</v>
          </cell>
          <cell r="D27">
            <v>8550000000</v>
          </cell>
          <cell r="E27" t="str">
            <v>N/A</v>
          </cell>
          <cell r="F27">
            <v>2538</v>
          </cell>
          <cell r="G27">
            <v>47877</v>
          </cell>
          <cell r="H27" t="str">
            <v>RETIE/ MINCOMERCIO (OK CERT. MERCURIO)</v>
          </cell>
          <cell r="I27" t="str">
            <v>ANHUI CHARDON ELECTRIC LIMITED</v>
          </cell>
          <cell r="J27" t="str">
            <v>288.09</v>
          </cell>
          <cell r="K27" t="str">
            <v>USD</v>
          </cell>
          <cell r="L27" t="str">
            <v>CN,MX</v>
          </cell>
          <cell r="M27" t="str">
            <v>UNIDADES</v>
          </cell>
          <cell r="N27">
            <v>2688402</v>
          </cell>
        </row>
        <row r="28">
          <cell r="A28" t="str">
            <v>XA009225435ANHUI CHARDON ELECTRIC LIMITED</v>
          </cell>
          <cell r="B28" t="str">
            <v>XA009225435</v>
          </cell>
          <cell r="C28" t="str">
            <v>36-ADP-LK</v>
          </cell>
          <cell r="D28">
            <v>8550000000</v>
          </cell>
          <cell r="E28" t="str">
            <v>N/A</v>
          </cell>
          <cell r="F28">
            <v>2538</v>
          </cell>
          <cell r="G28">
            <v>47877</v>
          </cell>
          <cell r="H28" t="str">
            <v>RETIE/ MINCOMERCIO (OK CERT. MERCURIO)</v>
          </cell>
          <cell r="I28" t="str">
            <v>ANHUI CHARDON ELECTRIC LIMITED</v>
          </cell>
          <cell r="J28" t="str">
            <v>117.38</v>
          </cell>
          <cell r="K28" t="str">
            <v>USD</v>
          </cell>
          <cell r="L28" t="str">
            <v>CN,MX</v>
          </cell>
          <cell r="M28" t="str">
            <v>UNIDADES</v>
          </cell>
          <cell r="N28">
            <v>2688402</v>
          </cell>
        </row>
        <row r="29">
          <cell r="A29" t="str">
            <v>XA009225385ANHUI CHARDON ELECTRIC LIMITED</v>
          </cell>
          <cell r="B29" t="str">
            <v>XA009225385</v>
          </cell>
          <cell r="C29" t="str">
            <v>36-ADP-LE</v>
          </cell>
          <cell r="D29">
            <v>8550000000</v>
          </cell>
          <cell r="E29" t="str">
            <v>N/A</v>
          </cell>
          <cell r="F29">
            <v>2538</v>
          </cell>
          <cell r="G29">
            <v>47877</v>
          </cell>
          <cell r="H29" t="str">
            <v>RETIE/ MINCOMERCIO (OK CERT. MERCURIO)</v>
          </cell>
          <cell r="I29" t="str">
            <v>ANHUI CHARDON ELECTRIC LIMITED</v>
          </cell>
          <cell r="J29" t="str">
            <v>123.58</v>
          </cell>
          <cell r="K29" t="str">
            <v>USD</v>
          </cell>
          <cell r="L29" t="str">
            <v>CN,MX</v>
          </cell>
          <cell r="M29" t="str">
            <v>UNIDADES</v>
          </cell>
          <cell r="N29">
            <v>2688402</v>
          </cell>
        </row>
        <row r="30">
          <cell r="A30" t="str">
            <v>XA009225351ANHUI CHARDON ELECTRIC LIMITED</v>
          </cell>
          <cell r="B30" t="str">
            <v>XA009225351</v>
          </cell>
          <cell r="C30" t="str">
            <v>36-ADP-LD</v>
          </cell>
          <cell r="D30">
            <v>8550000000</v>
          </cell>
          <cell r="E30" t="str">
            <v>N/A</v>
          </cell>
          <cell r="F30">
            <v>2538</v>
          </cell>
          <cell r="G30">
            <v>47877</v>
          </cell>
          <cell r="H30" t="str">
            <v>RETIE/ MINCOMERCIO (OK CERT. MERCURIO)</v>
          </cell>
          <cell r="I30" t="str">
            <v>ANHUI CHARDON ELECTRIC LIMITED</v>
          </cell>
          <cell r="J30" t="str">
            <v>115.70</v>
          </cell>
          <cell r="K30" t="str">
            <v>USD</v>
          </cell>
          <cell r="L30" t="str">
            <v>CN,MX</v>
          </cell>
          <cell r="M30" t="str">
            <v>UNIDADES</v>
          </cell>
          <cell r="N30">
            <v>2688402</v>
          </cell>
        </row>
        <row r="31">
          <cell r="A31" t="str">
            <v>XA009225344ANHUI CHARDON ELECTRIC LIMITED</v>
          </cell>
          <cell r="B31" t="str">
            <v>XA009225344</v>
          </cell>
          <cell r="C31" t="str">
            <v>36-ADP-LC</v>
          </cell>
          <cell r="D31">
            <v>8550000000</v>
          </cell>
          <cell r="E31" t="str">
            <v>N/A</v>
          </cell>
          <cell r="F31">
            <v>2538</v>
          </cell>
          <cell r="G31">
            <v>47877</v>
          </cell>
          <cell r="H31" t="str">
            <v>RETIE/ MINCOMERCIO (OK CERT. MERCURIO)</v>
          </cell>
          <cell r="I31" t="str">
            <v>ANHUI CHARDON ELECTRIC LIMITED</v>
          </cell>
          <cell r="J31" t="str">
            <v>107.64</v>
          </cell>
          <cell r="K31" t="str">
            <v>USD</v>
          </cell>
          <cell r="L31" t="str">
            <v>CN,MX</v>
          </cell>
          <cell r="M31" t="str">
            <v>UNIDADES</v>
          </cell>
          <cell r="N31">
            <v>2688402</v>
          </cell>
        </row>
        <row r="32">
          <cell r="A32" t="str">
            <v>XA009225336ANHUI CHARDON ELECTRIC LIMITED</v>
          </cell>
          <cell r="B32" t="str">
            <v>XA009225336</v>
          </cell>
          <cell r="C32" t="str">
            <v>36-ADP-LB</v>
          </cell>
          <cell r="D32">
            <v>8550000000</v>
          </cell>
          <cell r="E32" t="str">
            <v>N/A</v>
          </cell>
          <cell r="F32">
            <v>2538</v>
          </cell>
          <cell r="G32">
            <v>47877</v>
          </cell>
          <cell r="H32" t="str">
            <v>RETIE/ MINCOMERCIO (OK CERT. MERCURIO)</v>
          </cell>
          <cell r="I32" t="str">
            <v>ANHUI CHARDON ELECTRIC LIMITED</v>
          </cell>
          <cell r="J32" t="str">
            <v>107.64</v>
          </cell>
          <cell r="K32" t="str">
            <v>USD</v>
          </cell>
          <cell r="L32" t="str">
            <v>CN,MX</v>
          </cell>
          <cell r="M32" t="str">
            <v>UNIDADES</v>
          </cell>
          <cell r="N32">
            <v>2688402</v>
          </cell>
        </row>
        <row r="33">
          <cell r="A33" t="str">
            <v>XA009229569ANHUI CHARDON ELECTRIC LIMITED</v>
          </cell>
          <cell r="B33" t="str">
            <v>XA009229569</v>
          </cell>
          <cell r="C33" t="str">
            <v>24-LRDT630</v>
          </cell>
          <cell r="D33">
            <v>8540000000</v>
          </cell>
          <cell r="E33" t="str">
            <v>N/A</v>
          </cell>
          <cell r="F33">
            <v>2538</v>
          </cell>
          <cell r="G33">
            <v>47877</v>
          </cell>
          <cell r="H33" t="str">
            <v>RETIE/ MINCOMERCIO (OK CERT. MERCURIO)</v>
          </cell>
          <cell r="I33" t="str">
            <v>ANHUI CHARDON ELECTRIC LIMITED</v>
          </cell>
          <cell r="J33" t="str">
            <v>706.53</v>
          </cell>
          <cell r="K33" t="str">
            <v>USD</v>
          </cell>
          <cell r="L33" t="str">
            <v>CN,MX</v>
          </cell>
          <cell r="M33" t="str">
            <v>UNIDADES</v>
          </cell>
          <cell r="N33">
            <v>2688402</v>
          </cell>
        </row>
        <row r="34">
          <cell r="A34" t="str">
            <v>XA009229510ANHUI CHARDON ELECTRIC LIMITED</v>
          </cell>
          <cell r="B34" t="str">
            <v>XA009229510</v>
          </cell>
          <cell r="C34" t="str">
            <v>24-LFDT630</v>
          </cell>
          <cell r="D34">
            <v>8540000000</v>
          </cell>
          <cell r="E34" t="str">
            <v>N/A</v>
          </cell>
          <cell r="F34">
            <v>2538</v>
          </cell>
          <cell r="G34">
            <v>47877</v>
          </cell>
          <cell r="H34" t="str">
            <v>RETIE/ MINCOMERCIO (OK CERT. MERCURIO)</v>
          </cell>
          <cell r="I34" t="str">
            <v>ANHUI CHARDON ELECTRIC LIMITED</v>
          </cell>
          <cell r="J34" t="str">
            <v>643.21</v>
          </cell>
          <cell r="K34" t="str">
            <v>USD</v>
          </cell>
          <cell r="L34" t="str">
            <v>CN,MX</v>
          </cell>
          <cell r="M34" t="str">
            <v>UNIDADES</v>
          </cell>
          <cell r="N34">
            <v>2688402</v>
          </cell>
        </row>
        <row r="35">
          <cell r="A35" t="str">
            <v>XA009229387ANHUI CHARDON ELECTRIC LIMITED</v>
          </cell>
          <cell r="B35" t="str">
            <v>XA009229387</v>
          </cell>
          <cell r="C35" t="str">
            <v>24-ADP-E/24-ADP-LG/24-ADP-LH/36-ADP-LA</v>
          </cell>
          <cell r="D35">
            <v>8550000000</v>
          </cell>
          <cell r="E35" t="str">
            <v>N/A</v>
          </cell>
          <cell r="F35">
            <v>2538</v>
          </cell>
          <cell r="G35">
            <v>47877</v>
          </cell>
          <cell r="H35" t="str">
            <v>RETIE/ MINCOMERCIO (OK CERT. MERCURIO)</v>
          </cell>
          <cell r="I35" t="str">
            <v>ANHUI CHARDON ELECTRIC LIMITED</v>
          </cell>
          <cell r="J35" t="str">
            <v>47.79</v>
          </cell>
          <cell r="K35" t="str">
            <v>USD</v>
          </cell>
          <cell r="L35" t="str">
            <v>CN,MX</v>
          </cell>
          <cell r="M35" t="str">
            <v>UNIDADES</v>
          </cell>
          <cell r="N35">
            <v>2688402</v>
          </cell>
        </row>
        <row r="36">
          <cell r="A36" t="str">
            <v>XA009228728ANHUI CHARDON ELECTRIC LIMITED</v>
          </cell>
          <cell r="B36" t="str">
            <v>XA009228728</v>
          </cell>
          <cell r="C36" t="str">
            <v>42-ADP-V</v>
          </cell>
          <cell r="D36">
            <v>8550000000</v>
          </cell>
          <cell r="E36" t="str">
            <v>N/A</v>
          </cell>
          <cell r="F36">
            <v>2538</v>
          </cell>
          <cell r="G36">
            <v>47877</v>
          </cell>
          <cell r="H36" t="str">
            <v>RETIE/ MINCOMERCIO (OK CERT. MERCURIO)</v>
          </cell>
          <cell r="I36" t="str">
            <v>ANHUI CHARDON ELECTRIC LIMITED</v>
          </cell>
          <cell r="J36" t="str">
            <v>178.73</v>
          </cell>
          <cell r="K36" t="str">
            <v>USD</v>
          </cell>
          <cell r="L36" t="str">
            <v>CN,MX</v>
          </cell>
          <cell r="M36" t="str">
            <v>UNIDADES</v>
          </cell>
          <cell r="N36">
            <v>2688402</v>
          </cell>
        </row>
        <row r="37">
          <cell r="A37" t="str">
            <v>XA009228702ANHUI CHARDON ELECTRIC LIMITED</v>
          </cell>
          <cell r="B37" t="str">
            <v>XA009228702</v>
          </cell>
          <cell r="C37" t="str">
            <v>42-ADP-R</v>
          </cell>
          <cell r="D37">
            <v>8550000000</v>
          </cell>
          <cell r="E37" t="str">
            <v>N/A</v>
          </cell>
          <cell r="F37">
            <v>2538</v>
          </cell>
          <cell r="G37">
            <v>47877</v>
          </cell>
          <cell r="H37" t="str">
            <v>RETIE/ MINCOMERCIO (OK CERT. MERCURIO)</v>
          </cell>
          <cell r="I37" t="str">
            <v>ANHUI CHARDON ELECTRIC LIMITED</v>
          </cell>
          <cell r="J37" t="str">
            <v>178.73</v>
          </cell>
          <cell r="K37" t="str">
            <v>USD</v>
          </cell>
          <cell r="L37" t="str">
            <v>CN,MX</v>
          </cell>
          <cell r="M37" t="str">
            <v>UNIDADES</v>
          </cell>
          <cell r="N37">
            <v>2688402</v>
          </cell>
        </row>
        <row r="38">
          <cell r="A38" t="str">
            <v>XA009228736ANHUI CHARDON ELECTRIC LIMITED</v>
          </cell>
          <cell r="B38" t="str">
            <v>XA009228736</v>
          </cell>
          <cell r="C38" t="str">
            <v>42-ADP-Q</v>
          </cell>
          <cell r="D38">
            <v>8550000000</v>
          </cell>
          <cell r="E38" t="str">
            <v>N/A</v>
          </cell>
          <cell r="F38">
            <v>2538</v>
          </cell>
          <cell r="G38">
            <v>47877</v>
          </cell>
          <cell r="H38" t="str">
            <v>RETIE/ MINCOMERCIO (OK CERT. MERCURIO)</v>
          </cell>
          <cell r="I38" t="str">
            <v>ANHUI CHARDON ELECTRIC LIMITED</v>
          </cell>
          <cell r="J38" t="str">
            <v>186.98</v>
          </cell>
          <cell r="K38" t="str">
            <v>USD</v>
          </cell>
          <cell r="L38" t="str">
            <v>CN,MX</v>
          </cell>
          <cell r="M38" t="str">
            <v>UNIDADES</v>
          </cell>
          <cell r="N38">
            <v>2688402</v>
          </cell>
        </row>
        <row r="39">
          <cell r="A39" t="str">
            <v>XA009228652ANHUI CHARDON ELECTRIC LIMITED</v>
          </cell>
          <cell r="B39" t="str">
            <v>XA009228652</v>
          </cell>
          <cell r="C39" t="str">
            <v>42-ADP-J</v>
          </cell>
          <cell r="D39">
            <v>8550000000</v>
          </cell>
          <cell r="E39" t="str">
            <v>N/A</v>
          </cell>
          <cell r="F39">
            <v>2538</v>
          </cell>
          <cell r="G39">
            <v>47877</v>
          </cell>
          <cell r="H39" t="str">
            <v>RETIE/ MINCOMERCIO (OK CERT. MERCURIO)</v>
          </cell>
          <cell r="I39" t="str">
            <v>ANHUI CHARDON ELECTRIC LIMITED</v>
          </cell>
          <cell r="J39" t="str">
            <v>195.23</v>
          </cell>
          <cell r="K39" t="str">
            <v>USD</v>
          </cell>
          <cell r="L39" t="str">
            <v>CN,MX</v>
          </cell>
          <cell r="M39" t="str">
            <v>UNIDADES</v>
          </cell>
          <cell r="N39">
            <v>2688402</v>
          </cell>
        </row>
        <row r="40">
          <cell r="A40" t="str">
            <v>XA009228538ANHUI CHARDON ELECTRIC LIMITED</v>
          </cell>
          <cell r="B40" t="str">
            <v>XA009228538</v>
          </cell>
          <cell r="C40" t="str">
            <v>42-ADP-H</v>
          </cell>
          <cell r="D40">
            <v>8550000000</v>
          </cell>
          <cell r="E40" t="str">
            <v>N/A</v>
          </cell>
          <cell r="F40">
            <v>2538</v>
          </cell>
          <cell r="G40">
            <v>47877</v>
          </cell>
          <cell r="H40" t="str">
            <v>RETIE/ MINCOMERCIO (OK CERT. MERCURIO)</v>
          </cell>
          <cell r="I40" t="str">
            <v>ANHUI CHARDON ELECTRIC LIMITED</v>
          </cell>
          <cell r="J40" t="str">
            <v>195.23</v>
          </cell>
          <cell r="K40" t="str">
            <v>USD</v>
          </cell>
          <cell r="L40" t="str">
            <v>CN,MX</v>
          </cell>
          <cell r="M40" t="str">
            <v>UNIDADES</v>
          </cell>
          <cell r="N40">
            <v>2688402</v>
          </cell>
        </row>
        <row r="41">
          <cell r="A41" t="str">
            <v>XA009228520ANHUI CHARDON ELECTRIC LIMITED</v>
          </cell>
          <cell r="B41" t="str">
            <v>XA009228520</v>
          </cell>
          <cell r="C41" t="str">
            <v>42-ADP-G</v>
          </cell>
          <cell r="D41">
            <v>8550000000</v>
          </cell>
          <cell r="E41" t="str">
            <v>N/A</v>
          </cell>
          <cell r="F41">
            <v>2538</v>
          </cell>
          <cell r="G41">
            <v>47877</v>
          </cell>
          <cell r="H41" t="str">
            <v>RETIE/ MINCOMERCIO (OK CERT. MERCURIO)</v>
          </cell>
          <cell r="I41" t="str">
            <v>ANHUI CHARDON ELECTRIC LIMITED</v>
          </cell>
          <cell r="J41" t="str">
            <v>195.23</v>
          </cell>
          <cell r="K41" t="str">
            <v>USD</v>
          </cell>
          <cell r="L41" t="str">
            <v>CN,MX</v>
          </cell>
          <cell r="M41" t="str">
            <v>UNIDADES</v>
          </cell>
          <cell r="N41">
            <v>2688402</v>
          </cell>
        </row>
        <row r="42">
          <cell r="A42" t="str">
            <v>XA009229551ANHUI CHARDON ELECTRIC LIMITED</v>
          </cell>
          <cell r="B42" t="str">
            <v>XA009229551</v>
          </cell>
          <cell r="C42" t="str">
            <v>SBC-B-500/3-AL</v>
          </cell>
          <cell r="D42">
            <v>8540000000</v>
          </cell>
          <cell r="E42" t="str">
            <v>N/A</v>
          </cell>
          <cell r="F42">
            <v>2538</v>
          </cell>
          <cell r="G42">
            <v>47877</v>
          </cell>
          <cell r="H42" t="str">
            <v>RETIE/ MINCOMERCIO (OK CERT. MERCURIO)</v>
          </cell>
          <cell r="I42" t="str">
            <v>ANHUI CHARDON ELECTRIC LIMITED</v>
          </cell>
          <cell r="J42" t="str">
            <v>433.13</v>
          </cell>
          <cell r="K42" t="str">
            <v>USD</v>
          </cell>
          <cell r="L42" t="str">
            <v>CN,MX</v>
          </cell>
          <cell r="M42" t="str">
            <v>UNIDADES</v>
          </cell>
          <cell r="N42">
            <v>2688402</v>
          </cell>
        </row>
        <row r="43">
          <cell r="A43" t="str">
            <v>XA009224560ANHUI CHARDON ELECTRIC LIMITED</v>
          </cell>
          <cell r="B43" t="str">
            <v>XA009224560</v>
          </cell>
          <cell r="C43" t="str">
            <v>SBC-B-25-50/1-AL</v>
          </cell>
          <cell r="D43">
            <v>8535909000</v>
          </cell>
          <cell r="E43" t="str">
            <v>N/A</v>
          </cell>
          <cell r="F43">
            <v>2538</v>
          </cell>
          <cell r="G43">
            <v>47877</v>
          </cell>
          <cell r="H43" t="str">
            <v>RETIE/ MINCOMERCIO (OK CERT. MERCURIO)</v>
          </cell>
          <cell r="I43" t="str">
            <v>ANHUI CHARDON ELECTRIC LIMITED</v>
          </cell>
          <cell r="J43">
            <v>26.36</v>
          </cell>
          <cell r="K43" t="str">
            <v>USD</v>
          </cell>
          <cell r="L43" t="str">
            <v>CN,MX</v>
          </cell>
          <cell r="M43" t="str">
            <v>UNIDADES</v>
          </cell>
          <cell r="N43">
            <v>2688402</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2242F5-32AB-4C3D-A7C4-156322A6ED12}" name="Tabla1" displayName="Tabla1" ref="A1:AE435" totalsRowShown="0" headerRowDxfId="4" dataDxfId="3" headerRowBorderDxfId="1" tableBorderDxfId="2" totalsRowBorderDxfId="0">
  <autoFilter ref="A1:AE435" xr:uid="{03A49393-EB65-4D0B-BBE1-E6A03886454C}"/>
  <tableColumns count="31">
    <tableColumn id="1" xr3:uid="{00000000-0010-0000-0100-000001000000}" name="&amp;" dataDxfId="35">
      <calculatedColumnFormula>+B2&amp;I2</calculatedColumnFormula>
    </tableColumn>
    <tableColumn id="4" xr3:uid="{00000000-0010-0000-0100-000004000000}" name="PRODUCTO" dataDxfId="34"/>
    <tableColumn id="5" xr3:uid="{00000000-0010-0000-0100-000005000000}" name="REFERENCIA DOCUMENTO" dataDxfId="33"/>
    <tableColumn id="6" xr3:uid="{00000000-0010-0000-0100-000006000000}" name="PA" dataDxfId="32"/>
    <tableColumn id="27" xr3:uid="{00000000-0010-0000-0100-00001B000000}" name="EXPEDIENTE" dataDxfId="31"/>
    <tableColumn id="7" xr3:uid="{00000000-0010-0000-0100-000007000000}" name="DOCUMENTO" dataDxfId="30"/>
    <tableColumn id="29" xr3:uid="{00000000-0010-0000-0100-00001D000000}" name="VIGENCIA VO.BO" dataDxfId="29"/>
    <tableColumn id="8" xr3:uid="{00000000-0010-0000-0100-000008000000}" name="VO.BO" dataDxfId="28"/>
    <tableColumn id="9" xr3:uid="{00000000-0010-0000-0100-000009000000}" name="PROVEEDOR" dataDxfId="27"/>
    <tableColumn id="10" xr3:uid="{00000000-0010-0000-0100-00000A000000}" name="VALOR UNIT" dataDxfId="26"/>
    <tableColumn id="11" xr3:uid="{00000000-0010-0000-0100-00000B000000}" name="MONEDA" dataDxfId="25"/>
    <tableColumn id="12" xr3:uid="{00000000-0010-0000-0100-00000C000000}" name="P.O" dataDxfId="24"/>
    <tableColumn id="26" xr3:uid="{00000000-0010-0000-0100-00001A000000}" name="U COMERCIAL" dataDxfId="23"/>
    <tableColumn id="13" xr3:uid="{00000000-0010-0000-0100-00000D000000}" name="DO RIM CIMA" dataDxfId="22"/>
    <tableColumn id="15" xr3:uid="{00000000-0010-0000-0100-00000F000000}" name="NO RADICADO VUCE" dataDxfId="21"/>
    <tableColumn id="17" xr3:uid="{00000000-0010-0000-0100-000011000000}" name="REGISTRO APROBADO" dataDxfId="20"/>
    <tableColumn id="18" xr3:uid="{00000000-0010-0000-0100-000012000000}" name="APROBACION" dataDxfId="19"/>
    <tableColumn id="19" xr3:uid="{00000000-0010-0000-0100-000013000000}" name="VIGENCIA" dataDxfId="18"/>
    <tableColumn id="28" xr3:uid="{00000000-0010-0000-0100-00001C000000}" name="F. SOLICITUD RIM ENVIADA AR" dataDxfId="17"/>
    <tableColumn id="31" xr3:uid="{00000000-0010-0000-0100-00001F000000}" name="F. FINALIZACION REVISION RIM AR" dataDxfId="16"/>
    <tableColumn id="30" xr3:uid="{00000000-0010-0000-0100-00001E000000}" name="F. RADICACION RIM VUCE" dataDxfId="15"/>
    <tableColumn id="2" xr3:uid="{00000000-0010-0000-0100-000002000000}" name="REQUERIMIENTO - ENTIDAD" dataDxfId="14"/>
    <tableColumn id="16" xr3:uid="{00000000-0010-0000-0100-000010000000}" name="RAZON REQUERIMIENTO" dataDxfId="13"/>
    <tableColumn id="22" xr3:uid="{00000000-0010-0000-0100-000016000000}" name="NEGACION" dataDxfId="12"/>
    <tableColumn id="23" xr3:uid="{00000000-0010-0000-0100-000017000000}" name="RAZON NEGACON" dataDxfId="11"/>
    <tableColumn id="32" xr3:uid="{00000000-0010-0000-0100-000020000000}" name="OBSERVACION PARA SIACO" dataDxfId="10"/>
    <tableColumn id="33" xr3:uid="{00000000-0010-0000-0100-000021000000}" name="RIM EN DRIVE" dataDxfId="9"/>
    <tableColumn id="34" xr3:uid="{00000000-0010-0000-0100-000022000000}" name="RIM NUEVO" dataDxfId="8">
      <calculatedColumnFormula>+VLOOKUP(A2,'[1]VALID RIM NUEVAM'!A$1:O$65536,15,0)</calculatedColumnFormula>
    </tableColumn>
    <tableColumn id="35" xr3:uid="{00000000-0010-0000-0100-000023000000}" name="RIM  IMPULSADO NUEVO" dataDxfId="7"/>
    <tableColumn id="36" xr3:uid="{00000000-0010-0000-0100-000024000000}" name="DO PROD NACIONALIZADOS" dataDxfId="6"/>
    <tableColumn id="37" xr3:uid="{00000000-0010-0000-0100-000025000000}" name="PROD NACIONALIZADOS" dataDxfId="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E85F1-DA67-463F-9686-A3CFDA87ED0D}">
  <dimension ref="A1:AE435"/>
  <sheetViews>
    <sheetView tabSelected="1" workbookViewId="0">
      <selection activeCell="D1" sqref="D1"/>
    </sheetView>
  </sheetViews>
  <sheetFormatPr baseColWidth="10" defaultColWidth="18" defaultRowHeight="15"/>
  <cols>
    <col min="17" max="17" width="18" style="175"/>
    <col min="19" max="19" width="18" style="175"/>
  </cols>
  <sheetData>
    <row r="1" spans="1:31" ht="30">
      <c r="A1" s="1" t="s">
        <v>0</v>
      </c>
      <c r="B1" s="2" t="s">
        <v>1</v>
      </c>
      <c r="C1" s="1" t="s">
        <v>2</v>
      </c>
      <c r="D1" s="1" t="s">
        <v>3</v>
      </c>
      <c r="E1" s="1" t="s">
        <v>4</v>
      </c>
      <c r="F1" s="1" t="s">
        <v>5</v>
      </c>
      <c r="G1" s="3" t="s">
        <v>6</v>
      </c>
      <c r="H1" s="2" t="s">
        <v>7</v>
      </c>
      <c r="I1" s="2" t="s">
        <v>8</v>
      </c>
      <c r="J1" s="1" t="s">
        <v>9</v>
      </c>
      <c r="K1" s="1" t="s">
        <v>10</v>
      </c>
      <c r="L1" s="1" t="s">
        <v>11</v>
      </c>
      <c r="M1" s="1" t="s">
        <v>12</v>
      </c>
      <c r="N1" s="2" t="s">
        <v>13</v>
      </c>
      <c r="O1" s="2" t="s">
        <v>14</v>
      </c>
      <c r="P1" s="2" t="s">
        <v>15</v>
      </c>
      <c r="Q1" s="171" t="s">
        <v>16</v>
      </c>
      <c r="R1" s="4" t="s">
        <v>17</v>
      </c>
      <c r="S1" s="171" t="s">
        <v>18</v>
      </c>
      <c r="T1" s="4" t="s">
        <v>19</v>
      </c>
      <c r="U1" s="4" t="s">
        <v>20</v>
      </c>
      <c r="V1" s="2" t="s">
        <v>21</v>
      </c>
      <c r="W1" s="2" t="s">
        <v>22</v>
      </c>
      <c r="X1" s="2" t="s">
        <v>23</v>
      </c>
      <c r="Y1" s="2" t="s">
        <v>24</v>
      </c>
      <c r="Z1" s="1" t="s">
        <v>25</v>
      </c>
      <c r="AA1" s="1" t="s">
        <v>26</v>
      </c>
      <c r="AB1" s="1" t="s">
        <v>27</v>
      </c>
      <c r="AC1" s="1" t="s">
        <v>28</v>
      </c>
      <c r="AD1" s="1" t="s">
        <v>29</v>
      </c>
      <c r="AE1" s="5" t="s">
        <v>30</v>
      </c>
    </row>
    <row r="2" spans="1:31" ht="60">
      <c r="A2" s="6" t="str">
        <f t="shared" ref="A2:A47" si="0">+B2&amp;I2</f>
        <v>806114344753M COMPANY</v>
      </c>
      <c r="B2" s="7">
        <v>80611434475</v>
      </c>
      <c r="C2" s="6" t="s">
        <v>31</v>
      </c>
      <c r="D2" s="6">
        <v>3814009000</v>
      </c>
      <c r="E2" s="6" t="s">
        <v>32</v>
      </c>
      <c r="F2" s="8" t="s">
        <v>33</v>
      </c>
      <c r="G2" s="9" t="s">
        <v>32</v>
      </c>
      <c r="H2" s="8" t="s">
        <v>34</v>
      </c>
      <c r="I2" s="8" t="s">
        <v>35</v>
      </c>
      <c r="J2" s="10">
        <v>4.8296000000000001</v>
      </c>
      <c r="K2" s="10" t="s">
        <v>36</v>
      </c>
      <c r="L2" s="11" t="s">
        <v>37</v>
      </c>
      <c r="M2" s="11" t="s">
        <v>38</v>
      </c>
      <c r="N2" s="12">
        <v>2646988</v>
      </c>
      <c r="O2" s="13" t="s">
        <v>39</v>
      </c>
      <c r="P2" s="14" t="s">
        <v>40</v>
      </c>
      <c r="Q2" s="172">
        <v>46203</v>
      </c>
      <c r="R2" s="15">
        <v>46294</v>
      </c>
      <c r="S2" s="176">
        <v>46150</v>
      </c>
      <c r="T2" s="16">
        <v>46199</v>
      </c>
      <c r="U2" s="16">
        <v>46199</v>
      </c>
      <c r="V2" s="17" t="s">
        <v>41</v>
      </c>
      <c r="W2" s="17" t="s">
        <v>32</v>
      </c>
      <c r="X2" s="18" t="s">
        <v>41</v>
      </c>
      <c r="Y2" s="14" t="s">
        <v>32</v>
      </c>
      <c r="Z2" s="6" t="s">
        <v>42</v>
      </c>
      <c r="AA2" s="8" t="s">
        <v>43</v>
      </c>
      <c r="AB2" s="6" t="e">
        <f>+VLOOKUP(A2,'[1]VALID RIM NUEVAM'!A$1:O$65536,15,0)</f>
        <v>#N/A</v>
      </c>
      <c r="AC2" s="8" t="s">
        <v>43</v>
      </c>
      <c r="AD2" s="8"/>
      <c r="AE2" s="8"/>
    </row>
    <row r="3" spans="1:31" ht="180">
      <c r="A3" s="6" t="str">
        <f t="shared" si="0"/>
        <v>700711264063M COMPANY</v>
      </c>
      <c r="B3" s="7">
        <v>70071126406</v>
      </c>
      <c r="C3" s="6" t="s">
        <v>44</v>
      </c>
      <c r="D3" s="6">
        <v>3808941900</v>
      </c>
      <c r="E3" s="6" t="s">
        <v>32</v>
      </c>
      <c r="F3" s="8">
        <v>2018012294</v>
      </c>
      <c r="G3" s="9" t="s">
        <v>32</v>
      </c>
      <c r="H3" s="8" t="s">
        <v>45</v>
      </c>
      <c r="I3" s="8" t="s">
        <v>35</v>
      </c>
      <c r="J3" s="10">
        <v>99.265000000000001</v>
      </c>
      <c r="K3" s="10" t="s">
        <v>36</v>
      </c>
      <c r="L3" s="11" t="s">
        <v>37</v>
      </c>
      <c r="M3" s="11" t="s">
        <v>46</v>
      </c>
      <c r="N3" s="12">
        <v>2626805</v>
      </c>
      <c r="O3" s="13" t="s">
        <v>47</v>
      </c>
      <c r="P3" s="14" t="s">
        <v>48</v>
      </c>
      <c r="Q3" s="172">
        <v>46111</v>
      </c>
      <c r="R3" s="15">
        <v>46295</v>
      </c>
      <c r="S3" s="176">
        <v>46097</v>
      </c>
      <c r="T3" s="16">
        <v>46100</v>
      </c>
      <c r="U3" s="16">
        <v>46099</v>
      </c>
      <c r="V3" s="19" t="s">
        <v>49</v>
      </c>
      <c r="W3" s="19" t="s">
        <v>50</v>
      </c>
      <c r="X3" s="18" t="s">
        <v>41</v>
      </c>
      <c r="Y3" s="14" t="s">
        <v>32</v>
      </c>
      <c r="Z3" s="6" t="s">
        <v>51</v>
      </c>
      <c r="AA3" s="8"/>
      <c r="AB3" s="11" t="e">
        <f>+VLOOKUP(A3,'[1]VALID RIM NUEVAM'!A$1:O$65536,15,0)</f>
        <v>#N/A</v>
      </c>
      <c r="AC3" s="8" t="s">
        <v>43</v>
      </c>
      <c r="AD3" s="8">
        <v>2533450</v>
      </c>
      <c r="AE3" s="8" t="s">
        <v>52</v>
      </c>
    </row>
    <row r="4" spans="1:31" ht="180">
      <c r="A4" s="6" t="str">
        <f t="shared" si="0"/>
        <v>XA0092249903M COMPANY</v>
      </c>
      <c r="B4" s="7" t="s">
        <v>53</v>
      </c>
      <c r="C4" s="6" t="s">
        <v>54</v>
      </c>
      <c r="D4" s="6">
        <v>8421399000</v>
      </c>
      <c r="E4" s="6" t="s">
        <v>32</v>
      </c>
      <c r="F4" s="8">
        <v>2021013546</v>
      </c>
      <c r="G4" s="9" t="s">
        <v>32</v>
      </c>
      <c r="H4" s="8" t="s">
        <v>45</v>
      </c>
      <c r="I4" s="8" t="s">
        <v>35</v>
      </c>
      <c r="J4" s="10" t="s">
        <v>55</v>
      </c>
      <c r="K4" s="10" t="s">
        <v>36</v>
      </c>
      <c r="L4" s="11" t="s">
        <v>37</v>
      </c>
      <c r="M4" s="11" t="s">
        <v>46</v>
      </c>
      <c r="N4" s="12">
        <v>2626805</v>
      </c>
      <c r="O4" s="13" t="s">
        <v>47</v>
      </c>
      <c r="P4" s="14" t="s">
        <v>48</v>
      </c>
      <c r="Q4" s="172">
        <v>46111</v>
      </c>
      <c r="R4" s="15">
        <v>46295</v>
      </c>
      <c r="S4" s="176">
        <v>46097</v>
      </c>
      <c r="T4" s="16">
        <v>46100</v>
      </c>
      <c r="U4" s="16">
        <v>46099</v>
      </c>
      <c r="V4" s="19" t="s">
        <v>49</v>
      </c>
      <c r="W4" s="19" t="s">
        <v>50</v>
      </c>
      <c r="X4" s="18" t="s">
        <v>41</v>
      </c>
      <c r="Y4" s="14" t="s">
        <v>32</v>
      </c>
      <c r="Z4" s="6" t="s">
        <v>51</v>
      </c>
      <c r="AA4" s="8"/>
      <c r="AB4" s="11" t="e">
        <f>+VLOOKUP(A4,'[1]VALID RIM NUEVAM'!A$1:O$65536,15,0)</f>
        <v>#N/A</v>
      </c>
      <c r="AC4" s="8" t="s">
        <v>43</v>
      </c>
      <c r="AD4" s="8" t="e">
        <v>#N/A</v>
      </c>
      <c r="AE4" s="8" t="e">
        <v>#N/A</v>
      </c>
    </row>
    <row r="5" spans="1:31" ht="180">
      <c r="A5" s="6" t="str">
        <f t="shared" si="0"/>
        <v>702007380303M COMPANY</v>
      </c>
      <c r="B5" s="7">
        <v>70200738030</v>
      </c>
      <c r="C5" s="6" t="s">
        <v>54</v>
      </c>
      <c r="D5" s="6">
        <v>8421399000</v>
      </c>
      <c r="E5" s="6" t="s">
        <v>32</v>
      </c>
      <c r="F5" s="8">
        <v>2021013546</v>
      </c>
      <c r="G5" s="9" t="s">
        <v>32</v>
      </c>
      <c r="H5" s="8" t="s">
        <v>45</v>
      </c>
      <c r="I5" s="8" t="s">
        <v>35</v>
      </c>
      <c r="J5" s="10" t="s">
        <v>56</v>
      </c>
      <c r="K5" s="10" t="s">
        <v>36</v>
      </c>
      <c r="L5" s="11" t="s">
        <v>37</v>
      </c>
      <c r="M5" s="11" t="s">
        <v>46</v>
      </c>
      <c r="N5" s="12">
        <v>2626805</v>
      </c>
      <c r="O5" s="13" t="s">
        <v>47</v>
      </c>
      <c r="P5" s="14" t="s">
        <v>48</v>
      </c>
      <c r="Q5" s="172">
        <v>46111</v>
      </c>
      <c r="R5" s="15">
        <v>46295</v>
      </c>
      <c r="S5" s="176">
        <v>46097</v>
      </c>
      <c r="T5" s="16">
        <v>46100</v>
      </c>
      <c r="U5" s="16">
        <v>46099</v>
      </c>
      <c r="V5" s="19" t="s">
        <v>49</v>
      </c>
      <c r="W5" s="19" t="s">
        <v>50</v>
      </c>
      <c r="X5" s="18" t="s">
        <v>41</v>
      </c>
      <c r="Y5" s="14" t="s">
        <v>32</v>
      </c>
      <c r="Z5" s="6" t="s">
        <v>51</v>
      </c>
      <c r="AA5" s="8"/>
      <c r="AB5" s="11" t="e">
        <f>+VLOOKUP(A5,'[1]VALID RIM NUEVAM'!A$1:O$65536,15,0)</f>
        <v>#N/A</v>
      </c>
      <c r="AC5" s="8" t="s">
        <v>43</v>
      </c>
      <c r="AD5" s="8">
        <v>2548911</v>
      </c>
      <c r="AE5" s="8" t="s">
        <v>57</v>
      </c>
    </row>
    <row r="6" spans="1:31" ht="180">
      <c r="A6" s="6" t="str">
        <f t="shared" si="0"/>
        <v>702011866683M COMPANY</v>
      </c>
      <c r="B6" s="7">
        <v>70201186668</v>
      </c>
      <c r="C6" s="6">
        <v>390</v>
      </c>
      <c r="D6" s="6">
        <v>8419899990</v>
      </c>
      <c r="E6" s="6" t="s">
        <v>32</v>
      </c>
      <c r="F6" s="8">
        <v>2013016759</v>
      </c>
      <c r="G6" s="9" t="s">
        <v>32</v>
      </c>
      <c r="H6" s="8" t="s">
        <v>45</v>
      </c>
      <c r="I6" s="8" t="s">
        <v>35</v>
      </c>
      <c r="J6" s="10" t="s">
        <v>58</v>
      </c>
      <c r="K6" s="10" t="s">
        <v>36</v>
      </c>
      <c r="L6" s="11" t="s">
        <v>37</v>
      </c>
      <c r="M6" s="11" t="s">
        <v>46</v>
      </c>
      <c r="N6" s="12">
        <v>2626805</v>
      </c>
      <c r="O6" s="13" t="s">
        <v>47</v>
      </c>
      <c r="P6" s="14" t="s">
        <v>48</v>
      </c>
      <c r="Q6" s="172">
        <v>46111</v>
      </c>
      <c r="R6" s="15">
        <v>46295</v>
      </c>
      <c r="S6" s="176">
        <v>46097</v>
      </c>
      <c r="T6" s="16">
        <v>46100</v>
      </c>
      <c r="U6" s="16">
        <v>46099</v>
      </c>
      <c r="V6" s="19" t="s">
        <v>49</v>
      </c>
      <c r="W6" s="19" t="s">
        <v>50</v>
      </c>
      <c r="X6" s="18" t="s">
        <v>41</v>
      </c>
      <c r="Y6" s="14" t="s">
        <v>32</v>
      </c>
      <c r="Z6" s="6" t="s">
        <v>51</v>
      </c>
      <c r="AA6" s="8"/>
      <c r="AB6" s="11" t="e">
        <f>+VLOOKUP(A6,'[1]VALID RIM NUEVAM'!A$1:O$65536,15,0)</f>
        <v>#N/A</v>
      </c>
      <c r="AC6" s="8" t="s">
        <v>43</v>
      </c>
      <c r="AD6" s="8" t="e">
        <v>#N/A</v>
      </c>
      <c r="AE6" s="8" t="e">
        <v>#N/A</v>
      </c>
    </row>
    <row r="7" spans="1:31" ht="180">
      <c r="A7" s="6" t="str">
        <f t="shared" si="0"/>
        <v>702018022723M COMPANY</v>
      </c>
      <c r="B7" s="7">
        <v>70201802272</v>
      </c>
      <c r="C7" s="6">
        <v>96750</v>
      </c>
      <c r="D7" s="6">
        <v>9402909000</v>
      </c>
      <c r="E7" s="6" t="s">
        <v>32</v>
      </c>
      <c r="F7" s="8">
        <v>2021007578</v>
      </c>
      <c r="G7" s="9" t="s">
        <v>32</v>
      </c>
      <c r="H7" s="8" t="s">
        <v>45</v>
      </c>
      <c r="I7" s="8" t="s">
        <v>35</v>
      </c>
      <c r="J7" s="10" t="s">
        <v>59</v>
      </c>
      <c r="K7" s="10" t="s">
        <v>36</v>
      </c>
      <c r="L7" s="11" t="s">
        <v>37</v>
      </c>
      <c r="M7" s="11" t="s">
        <v>46</v>
      </c>
      <c r="N7" s="12">
        <v>2626805</v>
      </c>
      <c r="O7" s="13" t="s">
        <v>47</v>
      </c>
      <c r="P7" s="14" t="s">
        <v>48</v>
      </c>
      <c r="Q7" s="172">
        <v>46111</v>
      </c>
      <c r="R7" s="15">
        <v>46295</v>
      </c>
      <c r="S7" s="176">
        <v>46097</v>
      </c>
      <c r="T7" s="16">
        <v>46100</v>
      </c>
      <c r="U7" s="16">
        <v>46099</v>
      </c>
      <c r="V7" s="19" t="s">
        <v>49</v>
      </c>
      <c r="W7" s="19" t="s">
        <v>50</v>
      </c>
      <c r="X7" s="18" t="s">
        <v>41</v>
      </c>
      <c r="Y7" s="14" t="s">
        <v>32</v>
      </c>
      <c r="Z7" s="6" t="s">
        <v>51</v>
      </c>
      <c r="AA7" s="8"/>
      <c r="AB7" s="11" t="e">
        <f>+VLOOKUP(A7,'[1]VALID RIM NUEVAM'!A$1:O$65536,15,0)</f>
        <v>#N/A</v>
      </c>
      <c r="AC7" s="8" t="s">
        <v>43</v>
      </c>
      <c r="AD7" s="8" t="e">
        <v>#N/A</v>
      </c>
      <c r="AE7" s="8" t="e">
        <v>#N/A</v>
      </c>
    </row>
    <row r="8" spans="1:31" ht="180">
      <c r="A8" s="6" t="str">
        <f t="shared" si="0"/>
        <v>702011871533M COMPANY</v>
      </c>
      <c r="B8" s="7">
        <v>70201187153</v>
      </c>
      <c r="C8" s="6">
        <v>9682</v>
      </c>
      <c r="D8" s="6">
        <v>8504409090</v>
      </c>
      <c r="E8" s="6" t="s">
        <v>32</v>
      </c>
      <c r="F8" s="8">
        <v>2024006637</v>
      </c>
      <c r="G8" s="9" t="s">
        <v>32</v>
      </c>
      <c r="H8" s="8" t="s">
        <v>45</v>
      </c>
      <c r="I8" s="8" t="s">
        <v>35</v>
      </c>
      <c r="J8" s="10">
        <v>22</v>
      </c>
      <c r="K8" s="10" t="s">
        <v>36</v>
      </c>
      <c r="L8" s="11" t="s">
        <v>60</v>
      </c>
      <c r="M8" s="11" t="s">
        <v>46</v>
      </c>
      <c r="N8" s="12">
        <v>2626805</v>
      </c>
      <c r="O8" s="13" t="s">
        <v>47</v>
      </c>
      <c r="P8" s="14" t="s">
        <v>48</v>
      </c>
      <c r="Q8" s="172">
        <v>46111</v>
      </c>
      <c r="R8" s="15">
        <v>46295</v>
      </c>
      <c r="S8" s="176">
        <v>46097</v>
      </c>
      <c r="T8" s="16">
        <v>46100</v>
      </c>
      <c r="U8" s="16">
        <v>46099</v>
      </c>
      <c r="V8" s="19" t="s">
        <v>49</v>
      </c>
      <c r="W8" s="19" t="s">
        <v>50</v>
      </c>
      <c r="X8" s="18" t="s">
        <v>41</v>
      </c>
      <c r="Y8" s="14" t="s">
        <v>32</v>
      </c>
      <c r="Z8" s="6" t="s">
        <v>51</v>
      </c>
      <c r="AA8" s="8"/>
      <c r="AB8" s="11" t="e">
        <f>+VLOOKUP(A8,'[1]VALID RIM NUEVAM'!A$1:O$65536,15,0)</f>
        <v>#N/A</v>
      </c>
      <c r="AC8" s="8" t="s">
        <v>43</v>
      </c>
      <c r="AD8" s="8" t="e">
        <v>#N/A</v>
      </c>
      <c r="AE8" s="8" t="e">
        <v>#N/A</v>
      </c>
    </row>
    <row r="9" spans="1:31" ht="180">
      <c r="A9" s="6" t="str">
        <f t="shared" si="0"/>
        <v>702011867183M COMPANY</v>
      </c>
      <c r="B9" s="7">
        <v>70201186718</v>
      </c>
      <c r="C9" s="6">
        <v>490</v>
      </c>
      <c r="D9" s="6">
        <v>9027500000</v>
      </c>
      <c r="E9" s="6" t="s">
        <v>32</v>
      </c>
      <c r="F9" s="8">
        <v>2013016759</v>
      </c>
      <c r="G9" s="9" t="s">
        <v>32</v>
      </c>
      <c r="H9" s="8" t="s">
        <v>45</v>
      </c>
      <c r="I9" s="8" t="s">
        <v>35</v>
      </c>
      <c r="J9" s="10" t="s">
        <v>61</v>
      </c>
      <c r="K9" s="10" t="s">
        <v>36</v>
      </c>
      <c r="L9" s="11" t="s">
        <v>62</v>
      </c>
      <c r="M9" s="11" t="s">
        <v>46</v>
      </c>
      <c r="N9" s="12">
        <v>2626805</v>
      </c>
      <c r="O9" s="13" t="s">
        <v>47</v>
      </c>
      <c r="P9" s="14" t="s">
        <v>48</v>
      </c>
      <c r="Q9" s="172">
        <v>46111</v>
      </c>
      <c r="R9" s="15">
        <v>46295</v>
      </c>
      <c r="S9" s="176">
        <v>46097</v>
      </c>
      <c r="T9" s="16">
        <v>46100</v>
      </c>
      <c r="U9" s="16">
        <v>46099</v>
      </c>
      <c r="V9" s="19" t="s">
        <v>49</v>
      </c>
      <c r="W9" s="19" t="s">
        <v>50</v>
      </c>
      <c r="X9" s="18" t="s">
        <v>41</v>
      </c>
      <c r="Y9" s="14" t="s">
        <v>32</v>
      </c>
      <c r="Z9" s="6" t="s">
        <v>51</v>
      </c>
      <c r="AA9" s="8"/>
      <c r="AB9" s="11" t="e">
        <f>+VLOOKUP(A9,'[1]VALID RIM NUEVAM'!A$1:O$65536,15,0)</f>
        <v>#N/A</v>
      </c>
      <c r="AC9" s="8" t="s">
        <v>43</v>
      </c>
      <c r="AD9" s="8" t="e">
        <v>#N/A</v>
      </c>
      <c r="AE9" s="8" t="e">
        <v>#N/A</v>
      </c>
    </row>
    <row r="10" spans="1:31" ht="180">
      <c r="A10" s="6" t="str">
        <f t="shared" si="0"/>
        <v>702011866763M COMPANY</v>
      </c>
      <c r="B10" s="7">
        <v>70201186676</v>
      </c>
      <c r="C10" s="6" t="s">
        <v>63</v>
      </c>
      <c r="D10" s="6">
        <v>9027500000</v>
      </c>
      <c r="E10" s="6" t="s">
        <v>32</v>
      </c>
      <c r="F10" s="8">
        <v>2013016759</v>
      </c>
      <c r="G10" s="9" t="s">
        <v>32</v>
      </c>
      <c r="H10" s="8" t="s">
        <v>45</v>
      </c>
      <c r="I10" s="8" t="s">
        <v>35</v>
      </c>
      <c r="J10" s="10" t="s">
        <v>64</v>
      </c>
      <c r="K10" s="10" t="s">
        <v>36</v>
      </c>
      <c r="L10" s="11" t="s">
        <v>62</v>
      </c>
      <c r="M10" s="11" t="s">
        <v>46</v>
      </c>
      <c r="N10" s="12">
        <v>2626805</v>
      </c>
      <c r="O10" s="13" t="s">
        <v>47</v>
      </c>
      <c r="P10" s="14" t="s">
        <v>48</v>
      </c>
      <c r="Q10" s="172">
        <v>46111</v>
      </c>
      <c r="R10" s="15">
        <v>46295</v>
      </c>
      <c r="S10" s="176">
        <v>46097</v>
      </c>
      <c r="T10" s="16">
        <v>46100</v>
      </c>
      <c r="U10" s="16">
        <v>46099</v>
      </c>
      <c r="V10" s="19" t="s">
        <v>49</v>
      </c>
      <c r="W10" s="19" t="s">
        <v>50</v>
      </c>
      <c r="X10" s="18" t="s">
        <v>41</v>
      </c>
      <c r="Y10" s="14" t="s">
        <v>32</v>
      </c>
      <c r="Z10" s="6" t="s">
        <v>51</v>
      </c>
      <c r="AA10" s="8"/>
      <c r="AB10" s="11" t="e">
        <f>+VLOOKUP(A10,'[1]VALID RIM NUEVAM'!A$1:O$65536,15,0)</f>
        <v>#N/A</v>
      </c>
      <c r="AC10" s="8" t="s">
        <v>43</v>
      </c>
      <c r="AD10" s="8" t="e">
        <v>#N/A</v>
      </c>
      <c r="AE10" s="8" t="e">
        <v>#N/A</v>
      </c>
    </row>
    <row r="11" spans="1:31" ht="180">
      <c r="A11" s="6" t="str">
        <f t="shared" si="0"/>
        <v>702011850743M COMPANY</v>
      </c>
      <c r="B11" s="7">
        <v>70201185074</v>
      </c>
      <c r="C11" s="6">
        <v>9680</v>
      </c>
      <c r="D11" s="6">
        <v>8510901000</v>
      </c>
      <c r="E11" s="6" t="s">
        <v>32</v>
      </c>
      <c r="F11" s="8">
        <v>2014016916</v>
      </c>
      <c r="G11" s="9" t="s">
        <v>32</v>
      </c>
      <c r="H11" s="8" t="s">
        <v>45</v>
      </c>
      <c r="I11" s="8" t="s">
        <v>35</v>
      </c>
      <c r="J11" s="10" t="s">
        <v>65</v>
      </c>
      <c r="K11" s="10" t="s">
        <v>36</v>
      </c>
      <c r="L11" s="11" t="s">
        <v>60</v>
      </c>
      <c r="M11" s="11" t="s">
        <v>46</v>
      </c>
      <c r="N11" s="12">
        <v>2626805</v>
      </c>
      <c r="O11" s="13" t="s">
        <v>47</v>
      </c>
      <c r="P11" s="14" t="s">
        <v>48</v>
      </c>
      <c r="Q11" s="172">
        <v>46111</v>
      </c>
      <c r="R11" s="15">
        <v>46295</v>
      </c>
      <c r="S11" s="176">
        <v>46097</v>
      </c>
      <c r="T11" s="16">
        <v>46100</v>
      </c>
      <c r="U11" s="16">
        <v>46099</v>
      </c>
      <c r="V11" s="19" t="s">
        <v>49</v>
      </c>
      <c r="W11" s="19" t="s">
        <v>50</v>
      </c>
      <c r="X11" s="18" t="s">
        <v>41</v>
      </c>
      <c r="Y11" s="14" t="s">
        <v>32</v>
      </c>
      <c r="Z11" s="6" t="s">
        <v>51</v>
      </c>
      <c r="AA11" s="8"/>
      <c r="AB11" s="11" t="e">
        <f>+VLOOKUP(A11,'[1]VALID RIM NUEVAM'!A$1:O$65536,15,0)</f>
        <v>#N/A</v>
      </c>
      <c r="AC11" s="8" t="s">
        <v>43</v>
      </c>
      <c r="AD11" s="8" t="e">
        <v>#N/A</v>
      </c>
      <c r="AE11" s="8" t="e">
        <v>#N/A</v>
      </c>
    </row>
    <row r="12" spans="1:31" ht="45">
      <c r="A12" s="6" t="str">
        <f t="shared" si="0"/>
        <v>702004151423M CANADA COMPANY</v>
      </c>
      <c r="B12" s="7">
        <v>70200415142</v>
      </c>
      <c r="C12" s="6" t="s">
        <v>66</v>
      </c>
      <c r="D12" s="6">
        <v>3005909000</v>
      </c>
      <c r="E12" s="6">
        <v>20118211</v>
      </c>
      <c r="F12" s="8" t="s">
        <v>67</v>
      </c>
      <c r="G12" s="9">
        <v>48421</v>
      </c>
      <c r="H12" s="8" t="s">
        <v>45</v>
      </c>
      <c r="I12" s="8" t="s">
        <v>68</v>
      </c>
      <c r="J12" s="10">
        <v>5.6099999999999997E-2</v>
      </c>
      <c r="K12" s="10" t="s">
        <v>36</v>
      </c>
      <c r="L12" s="12" t="s">
        <v>69</v>
      </c>
      <c r="M12" s="11" t="s">
        <v>46</v>
      </c>
      <c r="N12" s="12">
        <v>2630824</v>
      </c>
      <c r="O12" s="13" t="s">
        <v>70</v>
      </c>
      <c r="P12" s="14" t="s">
        <v>71</v>
      </c>
      <c r="Q12" s="172">
        <v>46118</v>
      </c>
      <c r="R12" s="15">
        <v>46301</v>
      </c>
      <c r="S12" s="176">
        <v>46108</v>
      </c>
      <c r="T12" s="16">
        <v>46111</v>
      </c>
      <c r="U12" s="16">
        <v>46112</v>
      </c>
      <c r="V12" s="20" t="s">
        <v>41</v>
      </c>
      <c r="W12" s="20" t="s">
        <v>32</v>
      </c>
      <c r="X12" s="18" t="s">
        <v>41</v>
      </c>
      <c r="Y12" s="18" t="s">
        <v>32</v>
      </c>
      <c r="Z12" s="6" t="s">
        <v>72</v>
      </c>
      <c r="AA12" s="8" t="s">
        <v>43</v>
      </c>
      <c r="AB12" s="11" t="e">
        <f>+VLOOKUP(A12,'[1]VALID RIM NUEVAM'!A$1:O$65536,15,0)</f>
        <v>#N/A</v>
      </c>
      <c r="AC12" s="8" t="s">
        <v>43</v>
      </c>
      <c r="AD12" s="8">
        <v>2559339</v>
      </c>
      <c r="AE12" s="8" t="s">
        <v>73</v>
      </c>
    </row>
    <row r="13" spans="1:31" ht="45">
      <c r="A13" s="6" t="str">
        <f t="shared" si="0"/>
        <v>702004503133M CANADA COMPANY</v>
      </c>
      <c r="B13" s="7">
        <v>70200450313</v>
      </c>
      <c r="C13" s="6" t="s">
        <v>74</v>
      </c>
      <c r="D13" s="6">
        <v>3005909000</v>
      </c>
      <c r="E13" s="6">
        <v>20118211</v>
      </c>
      <c r="F13" s="8" t="s">
        <v>67</v>
      </c>
      <c r="G13" s="9">
        <v>48421</v>
      </c>
      <c r="H13" s="8" t="s">
        <v>45</v>
      </c>
      <c r="I13" s="8" t="s">
        <v>68</v>
      </c>
      <c r="J13" s="10">
        <v>4.6100000000000002E-2</v>
      </c>
      <c r="K13" s="10" t="s">
        <v>36</v>
      </c>
      <c r="L13" s="12" t="s">
        <v>69</v>
      </c>
      <c r="M13" s="11" t="s">
        <v>46</v>
      </c>
      <c r="N13" s="12">
        <v>2630824</v>
      </c>
      <c r="O13" s="13" t="s">
        <v>70</v>
      </c>
      <c r="P13" s="14" t="s">
        <v>71</v>
      </c>
      <c r="Q13" s="172">
        <v>46118</v>
      </c>
      <c r="R13" s="15">
        <v>46301</v>
      </c>
      <c r="S13" s="176">
        <v>46108</v>
      </c>
      <c r="T13" s="16">
        <v>46111</v>
      </c>
      <c r="U13" s="16">
        <v>46112</v>
      </c>
      <c r="V13" s="20" t="s">
        <v>41</v>
      </c>
      <c r="W13" s="20" t="s">
        <v>32</v>
      </c>
      <c r="X13" s="18" t="s">
        <v>41</v>
      </c>
      <c r="Y13" s="18" t="s">
        <v>32</v>
      </c>
      <c r="Z13" s="6" t="s">
        <v>72</v>
      </c>
      <c r="AA13" s="8" t="s">
        <v>43</v>
      </c>
      <c r="AB13" s="11" t="e">
        <f>+VLOOKUP(A13,'[1]VALID RIM NUEVAM'!A$1:O$65536,15,0)</f>
        <v>#N/A</v>
      </c>
      <c r="AC13" s="8" t="s">
        <v>43</v>
      </c>
      <c r="AD13" s="8">
        <v>2559339</v>
      </c>
      <c r="AE13" s="8" t="s">
        <v>73</v>
      </c>
    </row>
    <row r="14" spans="1:31" ht="60">
      <c r="A14" s="6" t="str">
        <f t="shared" si="0"/>
        <v>439101654303M COMPANY</v>
      </c>
      <c r="B14" s="7">
        <v>43910165430</v>
      </c>
      <c r="C14" s="6" t="s">
        <v>75</v>
      </c>
      <c r="D14" s="6">
        <v>5603930000</v>
      </c>
      <c r="E14" s="6">
        <v>20113323</v>
      </c>
      <c r="F14" s="8" t="s">
        <v>76</v>
      </c>
      <c r="G14" s="9">
        <v>46364</v>
      </c>
      <c r="H14" s="8" t="s">
        <v>45</v>
      </c>
      <c r="I14" s="8" t="s">
        <v>35</v>
      </c>
      <c r="J14" s="10">
        <v>0.77614271999999995</v>
      </c>
      <c r="K14" s="10" t="s">
        <v>36</v>
      </c>
      <c r="L14" s="11" t="s">
        <v>37</v>
      </c>
      <c r="M14" s="11" t="s">
        <v>77</v>
      </c>
      <c r="N14" s="12">
        <v>2630662</v>
      </c>
      <c r="O14" s="13" t="s">
        <v>78</v>
      </c>
      <c r="P14" s="14" t="s">
        <v>79</v>
      </c>
      <c r="Q14" s="172">
        <v>46119</v>
      </c>
      <c r="R14" s="15">
        <v>46302</v>
      </c>
      <c r="S14" s="176">
        <v>46106</v>
      </c>
      <c r="T14" s="16">
        <v>46108</v>
      </c>
      <c r="U14" s="16">
        <v>46108</v>
      </c>
      <c r="V14" s="20" t="s">
        <v>41</v>
      </c>
      <c r="W14" s="20" t="s">
        <v>32</v>
      </c>
      <c r="X14" s="18" t="s">
        <v>41</v>
      </c>
      <c r="Y14" s="18" t="s">
        <v>32</v>
      </c>
      <c r="Z14" s="21"/>
      <c r="AA14" s="22" t="s">
        <v>43</v>
      </c>
      <c r="AB14" s="11" t="e">
        <f>+VLOOKUP(A14,'[1]VALID RIM NUEVAM'!A$1:O$65536,15,0)</f>
        <v>#N/A</v>
      </c>
      <c r="AC14" s="8" t="s">
        <v>41</v>
      </c>
      <c r="AD14" s="8"/>
      <c r="AE14" s="8"/>
    </row>
    <row r="15" spans="1:31" ht="409.5">
      <c r="A15" s="23" t="str">
        <f t="shared" si="0"/>
        <v>UU0090268483M EMEA GMBH</v>
      </c>
      <c r="B15" s="24" t="s">
        <v>80</v>
      </c>
      <c r="C15" s="23" t="s">
        <v>81</v>
      </c>
      <c r="D15" s="23">
        <v>3808941900</v>
      </c>
      <c r="E15" s="23">
        <v>20107456</v>
      </c>
      <c r="F15" s="25" t="s">
        <v>82</v>
      </c>
      <c r="G15" s="26">
        <v>46026</v>
      </c>
      <c r="H15" s="25" t="s">
        <v>83</v>
      </c>
      <c r="I15" s="25" t="s">
        <v>84</v>
      </c>
      <c r="J15" s="27">
        <v>14.12</v>
      </c>
      <c r="K15" s="27" t="s">
        <v>36</v>
      </c>
      <c r="L15" s="24" t="s">
        <v>85</v>
      </c>
      <c r="M15" s="28" t="s">
        <v>86</v>
      </c>
      <c r="N15" s="28">
        <v>2618165</v>
      </c>
      <c r="O15" s="29" t="s">
        <v>87</v>
      </c>
      <c r="P15" s="30" t="s">
        <v>88</v>
      </c>
      <c r="Q15" s="172">
        <v>46120</v>
      </c>
      <c r="R15" s="31">
        <v>46303</v>
      </c>
      <c r="S15" s="176">
        <v>46071</v>
      </c>
      <c r="T15" s="32">
        <v>46072</v>
      </c>
      <c r="U15" s="32">
        <v>46072</v>
      </c>
      <c r="V15" s="33" t="s">
        <v>89</v>
      </c>
      <c r="W15" s="33" t="s">
        <v>90</v>
      </c>
      <c r="X15" s="34" t="s">
        <v>41</v>
      </c>
      <c r="Y15" s="30" t="s">
        <v>32</v>
      </c>
      <c r="Z15" s="33" t="s">
        <v>91</v>
      </c>
      <c r="AA15" s="35" t="s">
        <v>43</v>
      </c>
      <c r="AB15" s="28" t="e">
        <f>+VLOOKUP(A15,'[1]VALID RIM NUEVAM'!A$1:O$65536,15,0)</f>
        <v>#N/A</v>
      </c>
      <c r="AC15" s="25" t="s">
        <v>43</v>
      </c>
      <c r="AD15" s="25" t="e">
        <v>#N/A</v>
      </c>
      <c r="AE15" s="25" t="e">
        <v>#N/A</v>
      </c>
    </row>
    <row r="16" spans="1:31" ht="45">
      <c r="A16" s="6" t="str">
        <f t="shared" si="0"/>
        <v>HC0006758643M DO BRASIL LTDA</v>
      </c>
      <c r="B16" s="7" t="s">
        <v>92</v>
      </c>
      <c r="C16" s="6" t="s">
        <v>32</v>
      </c>
      <c r="D16" s="6">
        <v>3005101000</v>
      </c>
      <c r="E16" s="6">
        <v>20105662</v>
      </c>
      <c r="F16" s="8" t="s">
        <v>93</v>
      </c>
      <c r="G16" s="9">
        <v>45706</v>
      </c>
      <c r="H16" s="8" t="s">
        <v>45</v>
      </c>
      <c r="I16" s="8" t="s">
        <v>94</v>
      </c>
      <c r="J16" s="10">
        <v>0.38200000000000001</v>
      </c>
      <c r="K16" s="10" t="s">
        <v>36</v>
      </c>
      <c r="L16" s="11" t="s">
        <v>95</v>
      </c>
      <c r="M16" s="11" t="s">
        <v>96</v>
      </c>
      <c r="N16" s="12">
        <v>2630818</v>
      </c>
      <c r="O16" s="13" t="s">
        <v>97</v>
      </c>
      <c r="P16" s="14" t="s">
        <v>98</v>
      </c>
      <c r="Q16" s="172">
        <v>46120</v>
      </c>
      <c r="R16" s="15">
        <v>46303</v>
      </c>
      <c r="S16" s="176">
        <v>46108</v>
      </c>
      <c r="T16" s="16">
        <v>46111</v>
      </c>
      <c r="U16" s="16">
        <v>46111</v>
      </c>
      <c r="V16" s="20" t="s">
        <v>41</v>
      </c>
      <c r="W16" s="20" t="s">
        <v>32</v>
      </c>
      <c r="X16" s="18" t="s">
        <v>41</v>
      </c>
      <c r="Y16" s="18" t="s">
        <v>32</v>
      </c>
      <c r="Z16" s="6" t="s">
        <v>99</v>
      </c>
      <c r="AA16" s="8" t="s">
        <v>43</v>
      </c>
      <c r="AB16" s="11" t="e">
        <f>+VLOOKUP(A16,'[1]VALID RIM NUEVAM'!A$1:O$65536,15,0)</f>
        <v>#N/A</v>
      </c>
      <c r="AC16" s="8" t="s">
        <v>43</v>
      </c>
      <c r="AD16" s="8">
        <v>25103989</v>
      </c>
      <c r="AE16" s="8" t="s">
        <v>100</v>
      </c>
    </row>
    <row r="17" spans="1:31" ht="45">
      <c r="A17" s="6" t="str">
        <f t="shared" si="0"/>
        <v>HC0006758563M DO BRASIL LTDA</v>
      </c>
      <c r="B17" s="7" t="s">
        <v>101</v>
      </c>
      <c r="C17" s="6" t="s">
        <v>32</v>
      </c>
      <c r="D17" s="6">
        <v>3005101000</v>
      </c>
      <c r="E17" s="6">
        <v>20105662</v>
      </c>
      <c r="F17" s="8" t="s">
        <v>93</v>
      </c>
      <c r="G17" s="9">
        <v>45706</v>
      </c>
      <c r="H17" s="8" t="s">
        <v>45</v>
      </c>
      <c r="I17" s="8" t="s">
        <v>94</v>
      </c>
      <c r="J17" s="36">
        <v>0.28899999999999998</v>
      </c>
      <c r="K17" s="10" t="s">
        <v>36</v>
      </c>
      <c r="L17" s="11" t="s">
        <v>95</v>
      </c>
      <c r="M17" s="11" t="s">
        <v>96</v>
      </c>
      <c r="N17" s="12">
        <v>2630818</v>
      </c>
      <c r="O17" s="13" t="s">
        <v>97</v>
      </c>
      <c r="P17" s="14" t="s">
        <v>98</v>
      </c>
      <c r="Q17" s="172">
        <v>46120</v>
      </c>
      <c r="R17" s="15">
        <v>46303</v>
      </c>
      <c r="S17" s="176">
        <v>46108</v>
      </c>
      <c r="T17" s="16">
        <v>46111</v>
      </c>
      <c r="U17" s="16">
        <v>46111</v>
      </c>
      <c r="V17" s="20" t="s">
        <v>41</v>
      </c>
      <c r="W17" s="20" t="s">
        <v>32</v>
      </c>
      <c r="X17" s="18" t="s">
        <v>41</v>
      </c>
      <c r="Y17" s="18" t="s">
        <v>32</v>
      </c>
      <c r="Z17" s="6" t="s">
        <v>99</v>
      </c>
      <c r="AA17" s="8" t="s">
        <v>43</v>
      </c>
      <c r="AB17" s="11" t="e">
        <f>+VLOOKUP(A17,'[1]VALID RIM NUEVAM'!A$1:O$65536,15,0)</f>
        <v>#N/A</v>
      </c>
      <c r="AC17" s="8" t="s">
        <v>43</v>
      </c>
      <c r="AD17" s="8">
        <v>25103989</v>
      </c>
      <c r="AE17" s="8" t="s">
        <v>102</v>
      </c>
    </row>
    <row r="18" spans="1:31" ht="45">
      <c r="A18" s="6" t="str">
        <f t="shared" si="0"/>
        <v>HC0006760373M DO BRASIL LTDA</v>
      </c>
      <c r="B18" s="7" t="s">
        <v>103</v>
      </c>
      <c r="C18" s="6" t="s">
        <v>32</v>
      </c>
      <c r="D18" s="6">
        <v>3005101000</v>
      </c>
      <c r="E18" s="6">
        <v>20105662</v>
      </c>
      <c r="F18" s="8" t="s">
        <v>93</v>
      </c>
      <c r="G18" s="9">
        <v>45706</v>
      </c>
      <c r="H18" s="8" t="s">
        <v>45</v>
      </c>
      <c r="I18" s="8" t="s">
        <v>94</v>
      </c>
      <c r="J18" s="36">
        <v>0.67100000000000004</v>
      </c>
      <c r="K18" s="10" t="s">
        <v>36</v>
      </c>
      <c r="L18" s="11" t="s">
        <v>95</v>
      </c>
      <c r="M18" s="11" t="s">
        <v>96</v>
      </c>
      <c r="N18" s="12">
        <v>2630818</v>
      </c>
      <c r="O18" s="13" t="s">
        <v>97</v>
      </c>
      <c r="P18" s="14" t="s">
        <v>98</v>
      </c>
      <c r="Q18" s="172">
        <v>46120</v>
      </c>
      <c r="R18" s="15">
        <v>46303</v>
      </c>
      <c r="S18" s="176">
        <v>46108</v>
      </c>
      <c r="T18" s="16">
        <v>46111</v>
      </c>
      <c r="U18" s="16">
        <v>46111</v>
      </c>
      <c r="V18" s="20" t="s">
        <v>41</v>
      </c>
      <c r="W18" s="20" t="s">
        <v>32</v>
      </c>
      <c r="X18" s="18" t="s">
        <v>41</v>
      </c>
      <c r="Y18" s="18" t="s">
        <v>32</v>
      </c>
      <c r="Z18" s="6" t="s">
        <v>99</v>
      </c>
      <c r="AA18" s="8" t="s">
        <v>43</v>
      </c>
      <c r="AB18" s="11" t="e">
        <f>+VLOOKUP(A18,'[1]VALID RIM NUEVAM'!A$1:O$65536,15,0)</f>
        <v>#N/A</v>
      </c>
      <c r="AC18" s="8" t="s">
        <v>43</v>
      </c>
      <c r="AD18" s="8">
        <v>25106638</v>
      </c>
      <c r="AE18" s="8" t="s">
        <v>104</v>
      </c>
    </row>
    <row r="19" spans="1:31" ht="45">
      <c r="A19" s="6" t="str">
        <f t="shared" si="0"/>
        <v>HB0042760673M DO BRASIL LTDA</v>
      </c>
      <c r="B19" s="7" t="s">
        <v>105</v>
      </c>
      <c r="C19" s="6" t="s">
        <v>106</v>
      </c>
      <c r="D19" s="6">
        <v>3909500000</v>
      </c>
      <c r="E19" s="6" t="s">
        <v>32</v>
      </c>
      <c r="F19" s="8" t="s">
        <v>107</v>
      </c>
      <c r="G19" s="9" t="s">
        <v>32</v>
      </c>
      <c r="H19" s="8" t="s">
        <v>108</v>
      </c>
      <c r="I19" s="8" t="s">
        <v>94</v>
      </c>
      <c r="J19" s="36">
        <v>14.698</v>
      </c>
      <c r="K19" s="10" t="s">
        <v>36</v>
      </c>
      <c r="L19" s="11" t="s">
        <v>109</v>
      </c>
      <c r="M19" s="11" t="s">
        <v>46</v>
      </c>
      <c r="N19" s="12">
        <v>2630815</v>
      </c>
      <c r="O19" s="13" t="s">
        <v>110</v>
      </c>
      <c r="P19" s="14" t="s">
        <v>111</v>
      </c>
      <c r="Q19" s="172">
        <v>46120</v>
      </c>
      <c r="R19" s="15">
        <v>46303</v>
      </c>
      <c r="S19" s="176">
        <v>46108</v>
      </c>
      <c r="T19" s="16">
        <v>46120</v>
      </c>
      <c r="U19" s="16">
        <v>46120</v>
      </c>
      <c r="V19" s="19" t="s">
        <v>41</v>
      </c>
      <c r="W19" s="19" t="s">
        <v>32</v>
      </c>
      <c r="X19" s="18" t="s">
        <v>41</v>
      </c>
      <c r="Y19" s="14" t="s">
        <v>32</v>
      </c>
      <c r="Z19" s="6" t="s">
        <v>112</v>
      </c>
      <c r="AA19" s="8" t="s">
        <v>43</v>
      </c>
      <c r="AB19" s="11" t="e">
        <f>+VLOOKUP(A19,'[1]VALID RIM NUEVAM'!A$1:O$65536,15,0)</f>
        <v>#N/A</v>
      </c>
      <c r="AC19" s="8" t="s">
        <v>43</v>
      </c>
      <c r="AD19" s="8">
        <v>2551512</v>
      </c>
      <c r="AE19" s="8" t="s">
        <v>113</v>
      </c>
    </row>
    <row r="20" spans="1:31" ht="45">
      <c r="A20" s="6" t="str">
        <f t="shared" si="0"/>
        <v>806105929923M COMPANY</v>
      </c>
      <c r="B20" s="7">
        <v>80610592992</v>
      </c>
      <c r="C20" s="6" t="s">
        <v>114</v>
      </c>
      <c r="D20" s="6">
        <v>3814009000</v>
      </c>
      <c r="E20" s="6" t="s">
        <v>32</v>
      </c>
      <c r="F20" s="8" t="s">
        <v>115</v>
      </c>
      <c r="G20" s="9" t="s">
        <v>32</v>
      </c>
      <c r="H20" s="8" t="s">
        <v>108</v>
      </c>
      <c r="I20" s="8" t="s">
        <v>35</v>
      </c>
      <c r="J20" s="10">
        <v>3.8650000000000002</v>
      </c>
      <c r="K20" s="10" t="s">
        <v>36</v>
      </c>
      <c r="L20" s="11" t="s">
        <v>37</v>
      </c>
      <c r="M20" s="11" t="s">
        <v>116</v>
      </c>
      <c r="N20" s="12">
        <v>2669651</v>
      </c>
      <c r="O20" s="13" t="s">
        <v>117</v>
      </c>
      <c r="P20" s="14" t="s">
        <v>118</v>
      </c>
      <c r="Q20" s="172">
        <v>46212</v>
      </c>
      <c r="R20" s="15">
        <v>46303</v>
      </c>
      <c r="S20" s="176">
        <v>46210</v>
      </c>
      <c r="T20" s="16">
        <v>46210</v>
      </c>
      <c r="U20" s="16">
        <v>46210</v>
      </c>
      <c r="V20" s="17" t="s">
        <v>41</v>
      </c>
      <c r="W20" s="17" t="s">
        <v>32</v>
      </c>
      <c r="X20" s="18" t="s">
        <v>41</v>
      </c>
      <c r="Y20" s="14" t="s">
        <v>32</v>
      </c>
      <c r="Z20" s="6" t="s">
        <v>119</v>
      </c>
      <c r="AA20" s="8" t="s">
        <v>43</v>
      </c>
      <c r="AB20" s="11" t="e">
        <f>+VLOOKUP(A20,'[1]VALID RIM NUEVAM'!A$1:O$65536,15,0)</f>
        <v>#N/A</v>
      </c>
      <c r="AC20" s="8" t="s">
        <v>43</v>
      </c>
      <c r="AD20" s="8">
        <v>25107844</v>
      </c>
      <c r="AE20" s="8" t="s">
        <v>120</v>
      </c>
    </row>
    <row r="21" spans="1:31" ht="30">
      <c r="A21" s="23" t="str">
        <f t="shared" si="0"/>
        <v>78804682678SIAT S.P.A</v>
      </c>
      <c r="B21" s="24">
        <v>78804682678</v>
      </c>
      <c r="C21" s="23" t="s">
        <v>32</v>
      </c>
      <c r="D21" s="23">
        <v>8501201900</v>
      </c>
      <c r="E21" s="23" t="s">
        <v>32</v>
      </c>
      <c r="F21" s="25" t="s">
        <v>121</v>
      </c>
      <c r="G21" s="26" t="s">
        <v>32</v>
      </c>
      <c r="H21" s="25" t="s">
        <v>122</v>
      </c>
      <c r="I21" s="25" t="s">
        <v>123</v>
      </c>
      <c r="J21" s="37">
        <v>89.34</v>
      </c>
      <c r="K21" s="37" t="s">
        <v>124</v>
      </c>
      <c r="L21" s="38" t="s">
        <v>125</v>
      </c>
      <c r="M21" s="39" t="s">
        <v>46</v>
      </c>
      <c r="N21" s="40">
        <v>2595626</v>
      </c>
      <c r="O21" s="29" t="s">
        <v>126</v>
      </c>
      <c r="P21" s="41" t="s">
        <v>127</v>
      </c>
      <c r="Q21" s="172">
        <v>45940</v>
      </c>
      <c r="R21" s="31">
        <v>46305</v>
      </c>
      <c r="S21" s="176" t="s">
        <v>32</v>
      </c>
      <c r="T21" s="32" t="s">
        <v>32</v>
      </c>
      <c r="U21" s="32" t="s">
        <v>32</v>
      </c>
      <c r="V21" s="42" t="s">
        <v>41</v>
      </c>
      <c r="W21" s="42" t="s">
        <v>32</v>
      </c>
      <c r="X21" s="43" t="s">
        <v>41</v>
      </c>
      <c r="Y21" s="41" t="s">
        <v>32</v>
      </c>
      <c r="Z21" s="23" t="s">
        <v>128</v>
      </c>
      <c r="AA21" s="25" t="s">
        <v>43</v>
      </c>
      <c r="AB21" s="38" t="e">
        <f>+VLOOKUP(A21,'[1]VALID RIM NUEVAM'!A$1:O$65536,15,0)</f>
        <v>#N/A</v>
      </c>
      <c r="AC21" s="25" t="s">
        <v>41</v>
      </c>
      <c r="AD21" s="25">
        <v>2584223</v>
      </c>
      <c r="AE21" s="25" t="s">
        <v>129</v>
      </c>
    </row>
    <row r="22" spans="1:31" ht="30">
      <c r="A22" s="23" t="str">
        <f t="shared" si="0"/>
        <v>78809464734SIAT S.P.A</v>
      </c>
      <c r="B22" s="24">
        <v>78809464734</v>
      </c>
      <c r="C22" s="23" t="s">
        <v>32</v>
      </c>
      <c r="D22" s="23">
        <v>8501404900</v>
      </c>
      <c r="E22" s="23" t="s">
        <v>32</v>
      </c>
      <c r="F22" s="25" t="s">
        <v>121</v>
      </c>
      <c r="G22" s="26" t="s">
        <v>32</v>
      </c>
      <c r="H22" s="25" t="s">
        <v>122</v>
      </c>
      <c r="I22" s="25" t="s">
        <v>123</v>
      </c>
      <c r="J22" s="37">
        <v>131.78</v>
      </c>
      <c r="K22" s="37" t="s">
        <v>124</v>
      </c>
      <c r="L22" s="38" t="s">
        <v>125</v>
      </c>
      <c r="M22" s="39" t="s">
        <v>46</v>
      </c>
      <c r="N22" s="40">
        <v>2595626</v>
      </c>
      <c r="O22" s="29" t="s">
        <v>126</v>
      </c>
      <c r="P22" s="41" t="s">
        <v>127</v>
      </c>
      <c r="Q22" s="172">
        <v>45940</v>
      </c>
      <c r="R22" s="31">
        <v>46305</v>
      </c>
      <c r="S22" s="176" t="s">
        <v>32</v>
      </c>
      <c r="T22" s="32" t="s">
        <v>32</v>
      </c>
      <c r="U22" s="32" t="s">
        <v>32</v>
      </c>
      <c r="V22" s="42" t="s">
        <v>41</v>
      </c>
      <c r="W22" s="42" t="s">
        <v>32</v>
      </c>
      <c r="X22" s="43" t="s">
        <v>41</v>
      </c>
      <c r="Y22" s="41" t="s">
        <v>32</v>
      </c>
      <c r="Z22" s="23" t="s">
        <v>128</v>
      </c>
      <c r="AA22" s="25" t="s">
        <v>43</v>
      </c>
      <c r="AB22" s="38" t="e">
        <f>+VLOOKUP(A22,'[1]VALID RIM NUEVAM'!A$1:O$65536,15,0)</f>
        <v>#N/A</v>
      </c>
      <c r="AC22" s="25" t="s">
        <v>41</v>
      </c>
      <c r="AD22" s="25">
        <v>2584223</v>
      </c>
      <c r="AE22" s="25" t="s">
        <v>130</v>
      </c>
    </row>
    <row r="23" spans="1:31" ht="60">
      <c r="A23" s="6" t="str">
        <f t="shared" si="0"/>
        <v>806101016613M COMPANY</v>
      </c>
      <c r="B23" s="7">
        <v>80610101661</v>
      </c>
      <c r="C23" s="6" t="s">
        <v>131</v>
      </c>
      <c r="D23" s="6">
        <v>3909500000</v>
      </c>
      <c r="E23" s="6" t="s">
        <v>32</v>
      </c>
      <c r="F23" s="8" t="s">
        <v>132</v>
      </c>
      <c r="G23" s="9" t="s">
        <v>32</v>
      </c>
      <c r="H23" s="8" t="s">
        <v>108</v>
      </c>
      <c r="I23" s="8" t="s">
        <v>35</v>
      </c>
      <c r="J23" s="36">
        <v>21.96</v>
      </c>
      <c r="K23" s="10" t="s">
        <v>36</v>
      </c>
      <c r="L23" s="11" t="s">
        <v>62</v>
      </c>
      <c r="M23" s="11" t="s">
        <v>38</v>
      </c>
      <c r="N23" s="12">
        <v>2633634</v>
      </c>
      <c r="O23" s="13" t="s">
        <v>133</v>
      </c>
      <c r="P23" s="14" t="s">
        <v>134</v>
      </c>
      <c r="Q23" s="172">
        <v>46125</v>
      </c>
      <c r="R23" s="15">
        <v>46307</v>
      </c>
      <c r="S23" s="176">
        <v>46119</v>
      </c>
      <c r="T23" s="16">
        <v>46121</v>
      </c>
      <c r="U23" s="16">
        <v>46121</v>
      </c>
      <c r="V23" s="19" t="s">
        <v>41</v>
      </c>
      <c r="W23" s="19" t="s">
        <v>32</v>
      </c>
      <c r="X23" s="18" t="s">
        <v>41</v>
      </c>
      <c r="Y23" s="14" t="s">
        <v>32</v>
      </c>
      <c r="Z23" s="6" t="s">
        <v>135</v>
      </c>
      <c r="AA23" s="8" t="s">
        <v>43</v>
      </c>
      <c r="AB23" s="11" t="e">
        <f>+VLOOKUP(A23,'[1]VALID RIM NUEVAM'!A$1:O$65536,15,0)</f>
        <v>#N/A</v>
      </c>
      <c r="AC23" s="8" t="s">
        <v>43</v>
      </c>
      <c r="AD23" s="8">
        <v>2523093</v>
      </c>
      <c r="AE23" s="8" t="s">
        <v>136</v>
      </c>
    </row>
    <row r="24" spans="1:31" ht="60">
      <c r="A24" s="6" t="str">
        <f t="shared" si="0"/>
        <v>806114682593M COMPANY</v>
      </c>
      <c r="B24" s="7">
        <v>80611468259</v>
      </c>
      <c r="C24" s="6" t="s">
        <v>137</v>
      </c>
      <c r="D24" s="6">
        <v>3909500000</v>
      </c>
      <c r="E24" s="6" t="s">
        <v>32</v>
      </c>
      <c r="F24" s="8" t="s">
        <v>132</v>
      </c>
      <c r="G24" s="9" t="s">
        <v>32</v>
      </c>
      <c r="H24" s="8" t="s">
        <v>108</v>
      </c>
      <c r="I24" s="8" t="s">
        <v>35</v>
      </c>
      <c r="J24" s="36">
        <v>21.96</v>
      </c>
      <c r="K24" s="36" t="s">
        <v>36</v>
      </c>
      <c r="L24" s="44" t="s">
        <v>37</v>
      </c>
      <c r="M24" s="11" t="s">
        <v>38</v>
      </c>
      <c r="N24" s="12">
        <v>2633634</v>
      </c>
      <c r="O24" s="13" t="s">
        <v>133</v>
      </c>
      <c r="P24" s="14" t="s">
        <v>134</v>
      </c>
      <c r="Q24" s="172">
        <v>46125</v>
      </c>
      <c r="R24" s="15">
        <v>46307</v>
      </c>
      <c r="S24" s="176">
        <v>46119</v>
      </c>
      <c r="T24" s="16">
        <v>46121</v>
      </c>
      <c r="U24" s="16">
        <v>46121</v>
      </c>
      <c r="V24" s="19" t="s">
        <v>41</v>
      </c>
      <c r="W24" s="19" t="s">
        <v>32</v>
      </c>
      <c r="X24" s="18" t="s">
        <v>41</v>
      </c>
      <c r="Y24" s="14" t="s">
        <v>32</v>
      </c>
      <c r="Z24" s="6" t="s">
        <v>135</v>
      </c>
      <c r="AA24" s="8" t="s">
        <v>43</v>
      </c>
      <c r="AB24" s="11" t="e">
        <f>+VLOOKUP(A24,'[1]VALID RIM NUEVAM'!A$1:O$65536,15,0)</f>
        <v>#N/A</v>
      </c>
      <c r="AC24" s="8" t="s">
        <v>43</v>
      </c>
      <c r="AD24" s="8">
        <v>25108537</v>
      </c>
      <c r="AE24" s="8" t="s">
        <v>138</v>
      </c>
    </row>
    <row r="25" spans="1:31" ht="45">
      <c r="A25" s="6" t="str">
        <f t="shared" si="0"/>
        <v>UU0094724713M EMEA GMBH</v>
      </c>
      <c r="B25" s="7" t="s">
        <v>139</v>
      </c>
      <c r="C25" s="6" t="s">
        <v>140</v>
      </c>
      <c r="D25" s="6">
        <v>3919100000</v>
      </c>
      <c r="E25" s="6" t="s">
        <v>32</v>
      </c>
      <c r="F25" s="8">
        <v>3538</v>
      </c>
      <c r="G25" s="9">
        <v>47744</v>
      </c>
      <c r="H25" s="8" t="s">
        <v>141</v>
      </c>
      <c r="I25" s="8" t="s">
        <v>84</v>
      </c>
      <c r="J25" s="10">
        <v>8.5299999999999994</v>
      </c>
      <c r="K25" s="10" t="s">
        <v>36</v>
      </c>
      <c r="L25" s="11" t="s">
        <v>142</v>
      </c>
      <c r="M25" s="11" t="s">
        <v>96</v>
      </c>
      <c r="N25" s="12">
        <v>2636746</v>
      </c>
      <c r="O25" s="13" t="s">
        <v>143</v>
      </c>
      <c r="P25" s="14" t="s">
        <v>144</v>
      </c>
      <c r="Q25" s="172">
        <v>46128</v>
      </c>
      <c r="R25" s="15">
        <v>46311</v>
      </c>
      <c r="S25" s="176">
        <v>46126</v>
      </c>
      <c r="T25" s="16">
        <v>46126</v>
      </c>
      <c r="U25" s="16">
        <v>46126</v>
      </c>
      <c r="V25" s="20" t="s">
        <v>41</v>
      </c>
      <c r="W25" s="20" t="s">
        <v>32</v>
      </c>
      <c r="X25" s="18" t="s">
        <v>41</v>
      </c>
      <c r="Y25" s="18" t="s">
        <v>32</v>
      </c>
      <c r="Z25" s="6" t="s">
        <v>145</v>
      </c>
      <c r="AA25" s="8" t="s">
        <v>43</v>
      </c>
      <c r="AB25" s="11" t="e">
        <f>+VLOOKUP(A25,'[1]VALID RIM NUEVAM'!A$1:O$65536,15,0)</f>
        <v>#N/A</v>
      </c>
      <c r="AC25" s="8" t="s">
        <v>41</v>
      </c>
      <c r="AD25" s="8"/>
      <c r="AE25" s="8" t="s">
        <v>146</v>
      </c>
    </row>
    <row r="26" spans="1:31" ht="60">
      <c r="A26" s="6" t="str">
        <f t="shared" si="0"/>
        <v>XX100092426ICHEMCO SRL</v>
      </c>
      <c r="B26" s="7" t="s">
        <v>147</v>
      </c>
      <c r="C26" s="6" t="s">
        <v>148</v>
      </c>
      <c r="D26" s="6" t="s">
        <v>149</v>
      </c>
      <c r="E26" s="6" t="s">
        <v>32</v>
      </c>
      <c r="F26" s="8" t="s">
        <v>132</v>
      </c>
      <c r="G26" s="9" t="s">
        <v>32</v>
      </c>
      <c r="H26" s="8" t="s">
        <v>108</v>
      </c>
      <c r="I26" s="8" t="s">
        <v>150</v>
      </c>
      <c r="J26" s="36">
        <v>29.96</v>
      </c>
      <c r="K26" s="10" t="s">
        <v>124</v>
      </c>
      <c r="L26" s="11" t="s">
        <v>125</v>
      </c>
      <c r="M26" s="11" t="s">
        <v>151</v>
      </c>
      <c r="N26" s="12">
        <v>2636749</v>
      </c>
      <c r="O26" s="13" t="s">
        <v>152</v>
      </c>
      <c r="P26" s="14" t="s">
        <v>153</v>
      </c>
      <c r="Q26" s="172">
        <v>46130</v>
      </c>
      <c r="R26" s="15">
        <v>46313</v>
      </c>
      <c r="S26" s="176">
        <v>46126</v>
      </c>
      <c r="T26" s="16">
        <v>46126</v>
      </c>
      <c r="U26" s="16">
        <v>46127</v>
      </c>
      <c r="V26" s="20" t="s">
        <v>41</v>
      </c>
      <c r="W26" s="20" t="s">
        <v>32</v>
      </c>
      <c r="X26" s="18" t="s">
        <v>41</v>
      </c>
      <c r="Y26" s="18" t="s">
        <v>32</v>
      </c>
      <c r="Z26" s="6" t="s">
        <v>154</v>
      </c>
      <c r="AA26" s="8" t="s">
        <v>43</v>
      </c>
      <c r="AB26" s="11" t="e">
        <f>+VLOOKUP(A26,'[1]VALID RIM NUEVAM'!A$1:O$65536,15,0)</f>
        <v>#N/A</v>
      </c>
      <c r="AC26" s="8" t="s">
        <v>43</v>
      </c>
      <c r="AD26" s="8">
        <v>2565608</v>
      </c>
      <c r="AE26" s="8" t="s">
        <v>155</v>
      </c>
    </row>
    <row r="27" spans="1:31" ht="45">
      <c r="A27" s="6" t="str">
        <f t="shared" si="0"/>
        <v>HB0048288343M DO BRASIL LTDA</v>
      </c>
      <c r="B27" s="7" t="s">
        <v>156</v>
      </c>
      <c r="C27" s="6"/>
      <c r="D27" s="6">
        <v>3909500000</v>
      </c>
      <c r="E27" s="6" t="s">
        <v>32</v>
      </c>
      <c r="F27" s="8" t="s">
        <v>157</v>
      </c>
      <c r="G27" s="9" t="s">
        <v>32</v>
      </c>
      <c r="H27" s="8" t="s">
        <v>108</v>
      </c>
      <c r="I27" s="8" t="s">
        <v>94</v>
      </c>
      <c r="J27" s="10">
        <v>24.45</v>
      </c>
      <c r="K27" s="10" t="s">
        <v>36</v>
      </c>
      <c r="L27" s="11" t="s">
        <v>95</v>
      </c>
      <c r="M27" s="11" t="s">
        <v>158</v>
      </c>
      <c r="N27" s="12">
        <v>2636741</v>
      </c>
      <c r="O27" s="13" t="s">
        <v>159</v>
      </c>
      <c r="P27" s="14" t="s">
        <v>160</v>
      </c>
      <c r="Q27" s="172">
        <v>46131</v>
      </c>
      <c r="R27" s="15">
        <v>46314</v>
      </c>
      <c r="S27" s="176">
        <v>46126</v>
      </c>
      <c r="T27" s="16">
        <v>46126</v>
      </c>
      <c r="U27" s="16">
        <v>46126</v>
      </c>
      <c r="V27" s="20" t="s">
        <v>41</v>
      </c>
      <c r="W27" s="20" t="s">
        <v>32</v>
      </c>
      <c r="X27" s="18" t="s">
        <v>41</v>
      </c>
      <c r="Y27" s="18" t="s">
        <v>32</v>
      </c>
      <c r="Z27" s="6" t="s">
        <v>161</v>
      </c>
      <c r="AA27" s="8" t="s">
        <v>43</v>
      </c>
      <c r="AB27" s="11" t="e">
        <f>+VLOOKUP(A27,'[1]VALID RIM NUEVAM'!A$1:O$65536,15,0)</f>
        <v>#N/A</v>
      </c>
      <c r="AC27" s="8" t="s">
        <v>43</v>
      </c>
      <c r="AD27" s="8"/>
      <c r="AE27" s="8"/>
    </row>
    <row r="28" spans="1:31" ht="165">
      <c r="A28" s="21" t="str">
        <f t="shared" si="0"/>
        <v>624908853163M COMPANY</v>
      </c>
      <c r="B28" s="45">
        <v>62490885316</v>
      </c>
      <c r="C28" s="21" t="s">
        <v>32</v>
      </c>
      <c r="D28" s="21">
        <v>3506910000</v>
      </c>
      <c r="E28" s="21" t="s">
        <v>32</v>
      </c>
      <c r="F28" s="22" t="s">
        <v>162</v>
      </c>
      <c r="G28" s="46" t="s">
        <v>32</v>
      </c>
      <c r="H28" s="22" t="s">
        <v>163</v>
      </c>
      <c r="I28" s="22" t="s">
        <v>35</v>
      </c>
      <c r="J28" s="47">
        <v>36.9</v>
      </c>
      <c r="K28" s="47" t="s">
        <v>36</v>
      </c>
      <c r="L28" s="48" t="s">
        <v>37</v>
      </c>
      <c r="M28" s="48" t="s">
        <v>164</v>
      </c>
      <c r="N28" s="49">
        <v>2638224</v>
      </c>
      <c r="O28" s="50" t="s">
        <v>165</v>
      </c>
      <c r="P28" s="51" t="s">
        <v>166</v>
      </c>
      <c r="Q28" s="173">
        <v>46133</v>
      </c>
      <c r="R28" s="52">
        <v>46316</v>
      </c>
      <c r="S28" s="177">
        <v>46128</v>
      </c>
      <c r="T28" s="53">
        <v>46128</v>
      </c>
      <c r="U28" s="53">
        <v>46128</v>
      </c>
      <c r="V28" s="54" t="s">
        <v>89</v>
      </c>
      <c r="W28" s="54" t="s">
        <v>167</v>
      </c>
      <c r="X28" s="55" t="s">
        <v>41</v>
      </c>
      <c r="Y28" s="51" t="s">
        <v>32</v>
      </c>
      <c r="Z28" s="56" t="s">
        <v>168</v>
      </c>
      <c r="AA28" s="56" t="s">
        <v>32</v>
      </c>
      <c r="AB28" s="48" t="e">
        <f>+VLOOKUP(A28,'[1]VALID RIM NUEVAM'!A$1:O$65536,15,0)</f>
        <v>#N/A</v>
      </c>
      <c r="AC28" s="22" t="s">
        <v>43</v>
      </c>
      <c r="AD28" s="22"/>
      <c r="AE28" s="22"/>
    </row>
    <row r="29" spans="1:31" ht="45">
      <c r="A29" s="6" t="str">
        <f t="shared" si="0"/>
        <v>78809107424SIAT S.P.A</v>
      </c>
      <c r="B29" s="7">
        <v>78809107424</v>
      </c>
      <c r="C29" s="6" t="s">
        <v>32</v>
      </c>
      <c r="D29" s="6">
        <v>8422900000</v>
      </c>
      <c r="E29" s="6" t="s">
        <v>32</v>
      </c>
      <c r="F29" s="8" t="s">
        <v>169</v>
      </c>
      <c r="G29" s="9" t="s">
        <v>32</v>
      </c>
      <c r="H29" s="8" t="s">
        <v>170</v>
      </c>
      <c r="I29" s="8" t="s">
        <v>123</v>
      </c>
      <c r="J29" s="10">
        <v>60.14</v>
      </c>
      <c r="K29" s="10" t="s">
        <v>124</v>
      </c>
      <c r="L29" s="11" t="s">
        <v>125</v>
      </c>
      <c r="M29" s="11" t="s">
        <v>38</v>
      </c>
      <c r="N29" s="12">
        <v>2639616</v>
      </c>
      <c r="O29" s="13" t="s">
        <v>171</v>
      </c>
      <c r="P29" s="14" t="s">
        <v>172</v>
      </c>
      <c r="Q29" s="172">
        <v>46135</v>
      </c>
      <c r="R29" s="15">
        <v>46318</v>
      </c>
      <c r="S29" s="176">
        <v>46132</v>
      </c>
      <c r="T29" s="16">
        <v>46132</v>
      </c>
      <c r="U29" s="16">
        <v>46132</v>
      </c>
      <c r="V29" s="20" t="s">
        <v>41</v>
      </c>
      <c r="W29" s="20" t="s">
        <v>32</v>
      </c>
      <c r="X29" s="18" t="s">
        <v>41</v>
      </c>
      <c r="Y29" s="14" t="s">
        <v>32</v>
      </c>
      <c r="Z29" s="6" t="s">
        <v>173</v>
      </c>
      <c r="AA29" s="8"/>
      <c r="AB29" s="11" t="e">
        <f>+VLOOKUP(A29,'[1]VALID RIM NUEVAM'!A$1:O$65536,15,0)</f>
        <v>#N/A</v>
      </c>
      <c r="AC29" s="8"/>
      <c r="AD29" s="8"/>
      <c r="AE29" s="8"/>
    </row>
    <row r="30" spans="1:31" ht="45">
      <c r="A30" s="6" t="str">
        <f t="shared" si="0"/>
        <v>70006449626SIAT S.P.A</v>
      </c>
      <c r="B30" s="7">
        <v>70006449626</v>
      </c>
      <c r="C30" s="6" t="s">
        <v>32</v>
      </c>
      <c r="D30" s="6">
        <v>8422900000</v>
      </c>
      <c r="E30" s="6" t="s">
        <v>32</v>
      </c>
      <c r="F30" s="8" t="s">
        <v>169</v>
      </c>
      <c r="G30" s="9" t="s">
        <v>32</v>
      </c>
      <c r="H30" s="8" t="s">
        <v>170</v>
      </c>
      <c r="I30" s="8" t="s">
        <v>123</v>
      </c>
      <c r="J30" s="10">
        <v>189</v>
      </c>
      <c r="K30" s="10" t="s">
        <v>124</v>
      </c>
      <c r="L30" s="11" t="s">
        <v>125</v>
      </c>
      <c r="M30" s="11" t="s">
        <v>38</v>
      </c>
      <c r="N30" s="12">
        <v>2639616</v>
      </c>
      <c r="O30" s="13" t="s">
        <v>171</v>
      </c>
      <c r="P30" s="14" t="s">
        <v>172</v>
      </c>
      <c r="Q30" s="172">
        <v>46135</v>
      </c>
      <c r="R30" s="15">
        <v>46318</v>
      </c>
      <c r="S30" s="176">
        <v>46132</v>
      </c>
      <c r="T30" s="16">
        <v>46132</v>
      </c>
      <c r="U30" s="16">
        <v>46132</v>
      </c>
      <c r="V30" s="20" t="s">
        <v>41</v>
      </c>
      <c r="W30" s="20" t="s">
        <v>32</v>
      </c>
      <c r="X30" s="18" t="s">
        <v>41</v>
      </c>
      <c r="Y30" s="14" t="s">
        <v>32</v>
      </c>
      <c r="Z30" s="6" t="s">
        <v>173</v>
      </c>
      <c r="AA30" s="8"/>
      <c r="AB30" s="11" t="e">
        <f>+VLOOKUP(A30,'[1]VALID RIM NUEVAM'!A$1:O$65536,15,0)</f>
        <v>#N/A</v>
      </c>
      <c r="AC30" s="8"/>
      <c r="AD30" s="8"/>
      <c r="AE30" s="8"/>
    </row>
    <row r="31" spans="1:31" ht="45">
      <c r="A31" s="6" t="str">
        <f t="shared" si="0"/>
        <v>70006449634SIAT S.P.A</v>
      </c>
      <c r="B31" s="7">
        <v>70006449634</v>
      </c>
      <c r="C31" s="6" t="s">
        <v>32</v>
      </c>
      <c r="D31" s="6">
        <v>8422900000</v>
      </c>
      <c r="E31" s="6" t="s">
        <v>32</v>
      </c>
      <c r="F31" s="8" t="s">
        <v>169</v>
      </c>
      <c r="G31" s="9" t="s">
        <v>32</v>
      </c>
      <c r="H31" s="8" t="s">
        <v>170</v>
      </c>
      <c r="I31" s="8" t="s">
        <v>123</v>
      </c>
      <c r="J31" s="10">
        <v>189</v>
      </c>
      <c r="K31" s="10" t="s">
        <v>124</v>
      </c>
      <c r="L31" s="11" t="s">
        <v>125</v>
      </c>
      <c r="M31" s="11" t="s">
        <v>38</v>
      </c>
      <c r="N31" s="12">
        <v>2639616</v>
      </c>
      <c r="O31" s="13" t="s">
        <v>171</v>
      </c>
      <c r="P31" s="14" t="s">
        <v>172</v>
      </c>
      <c r="Q31" s="172">
        <v>46135</v>
      </c>
      <c r="R31" s="15">
        <v>46318</v>
      </c>
      <c r="S31" s="176">
        <v>46132</v>
      </c>
      <c r="T31" s="16">
        <v>46132</v>
      </c>
      <c r="U31" s="16">
        <v>46132</v>
      </c>
      <c r="V31" s="20" t="s">
        <v>41</v>
      </c>
      <c r="W31" s="20" t="s">
        <v>32</v>
      </c>
      <c r="X31" s="18" t="s">
        <v>41</v>
      </c>
      <c r="Y31" s="14" t="s">
        <v>32</v>
      </c>
      <c r="Z31" s="6" t="s">
        <v>173</v>
      </c>
      <c r="AA31" s="8"/>
      <c r="AB31" s="11" t="e">
        <f>+VLOOKUP(A31,'[1]VALID RIM NUEVAM'!A$1:O$65536,15,0)</f>
        <v>#N/A</v>
      </c>
      <c r="AC31" s="8"/>
      <c r="AD31" s="8"/>
      <c r="AE31" s="8"/>
    </row>
    <row r="32" spans="1:31" ht="45">
      <c r="A32" s="6" t="str">
        <f t="shared" si="0"/>
        <v>78809107440SIAT S.P.A</v>
      </c>
      <c r="B32" s="7">
        <v>78809107440</v>
      </c>
      <c r="C32" s="6" t="s">
        <v>32</v>
      </c>
      <c r="D32" s="6">
        <v>8422900000</v>
      </c>
      <c r="E32" s="6" t="s">
        <v>32</v>
      </c>
      <c r="F32" s="8" t="s">
        <v>169</v>
      </c>
      <c r="G32" s="9" t="s">
        <v>32</v>
      </c>
      <c r="H32" s="8" t="s">
        <v>170</v>
      </c>
      <c r="I32" s="8" t="s">
        <v>123</v>
      </c>
      <c r="J32" s="10">
        <v>56.29</v>
      </c>
      <c r="K32" s="10" t="s">
        <v>124</v>
      </c>
      <c r="L32" s="11" t="s">
        <v>125</v>
      </c>
      <c r="M32" s="11" t="s">
        <v>38</v>
      </c>
      <c r="N32" s="12">
        <v>2639616</v>
      </c>
      <c r="O32" s="13" t="s">
        <v>171</v>
      </c>
      <c r="P32" s="14" t="s">
        <v>172</v>
      </c>
      <c r="Q32" s="172">
        <v>46135</v>
      </c>
      <c r="R32" s="15">
        <v>46318</v>
      </c>
      <c r="S32" s="176">
        <v>46133</v>
      </c>
      <c r="T32" s="16">
        <v>46134</v>
      </c>
      <c r="U32" s="16">
        <v>46134</v>
      </c>
      <c r="V32" s="20" t="s">
        <v>41</v>
      </c>
      <c r="W32" s="20" t="s">
        <v>32</v>
      </c>
      <c r="X32" s="18" t="s">
        <v>41</v>
      </c>
      <c r="Y32" s="14" t="s">
        <v>32</v>
      </c>
      <c r="Z32" s="6" t="s">
        <v>173</v>
      </c>
      <c r="AA32" s="8"/>
      <c r="AB32" s="11" t="e">
        <f>+VLOOKUP(A32,'[1]VALID RIM NUEVAM'!A$1:O$65536,15,0)</f>
        <v>#N/A</v>
      </c>
      <c r="AC32" s="8"/>
      <c r="AD32" s="8"/>
      <c r="AE32" s="8"/>
    </row>
    <row r="33" spans="1:31" ht="225">
      <c r="A33" s="6" t="str">
        <f t="shared" si="0"/>
        <v>700716831743M COMPANY</v>
      </c>
      <c r="B33" s="7">
        <v>70071683174</v>
      </c>
      <c r="C33" s="6" t="s">
        <v>174</v>
      </c>
      <c r="D33" s="6">
        <v>3402909900</v>
      </c>
      <c r="E33" s="6" t="s">
        <v>32</v>
      </c>
      <c r="F33" s="8" t="s">
        <v>175</v>
      </c>
      <c r="G33" s="9" t="s">
        <v>32</v>
      </c>
      <c r="H33" s="8" t="s">
        <v>176</v>
      </c>
      <c r="I33" s="8" t="s">
        <v>35</v>
      </c>
      <c r="J33" s="36">
        <v>135.44999999999999</v>
      </c>
      <c r="K33" s="10" t="s">
        <v>36</v>
      </c>
      <c r="L33" s="11" t="s">
        <v>37</v>
      </c>
      <c r="M33" s="11" t="s">
        <v>86</v>
      </c>
      <c r="N33" s="12">
        <v>2639567</v>
      </c>
      <c r="O33" s="13" t="s">
        <v>177</v>
      </c>
      <c r="P33" s="57" t="s">
        <v>178</v>
      </c>
      <c r="Q33" s="172">
        <v>46136</v>
      </c>
      <c r="R33" s="15">
        <v>46319</v>
      </c>
      <c r="S33" s="176">
        <v>46133</v>
      </c>
      <c r="T33" s="16">
        <v>46135</v>
      </c>
      <c r="U33" s="16">
        <v>46135</v>
      </c>
      <c r="V33" s="58" t="s">
        <v>41</v>
      </c>
      <c r="W33" s="58" t="s">
        <v>32</v>
      </c>
      <c r="X33" s="59" t="s">
        <v>43</v>
      </c>
      <c r="Y33" s="59" t="s">
        <v>32</v>
      </c>
      <c r="Z33" s="6" t="s">
        <v>179</v>
      </c>
      <c r="AA33" s="8" t="s">
        <v>43</v>
      </c>
      <c r="AB33" s="11" t="e">
        <f>+VLOOKUP(A33,'[1]VALID RIM NUEVAM'!A$1:O$65536,15,0)</f>
        <v>#N/A</v>
      </c>
      <c r="AC33" s="8" t="s">
        <v>43</v>
      </c>
      <c r="AD33" s="8">
        <v>25103484</v>
      </c>
      <c r="AE33" s="8" t="s">
        <v>180</v>
      </c>
    </row>
    <row r="34" spans="1:31" ht="165">
      <c r="A34" s="6" t="str">
        <f t="shared" si="0"/>
        <v>750400747283M COMPANY</v>
      </c>
      <c r="B34" s="7">
        <v>75040074728</v>
      </c>
      <c r="C34" s="6" t="s">
        <v>181</v>
      </c>
      <c r="D34" s="6">
        <v>3402909900</v>
      </c>
      <c r="E34" s="6" t="s">
        <v>32</v>
      </c>
      <c r="F34" s="8" t="s">
        <v>182</v>
      </c>
      <c r="G34" s="9" t="s">
        <v>32</v>
      </c>
      <c r="H34" s="8" t="s">
        <v>176</v>
      </c>
      <c r="I34" s="8" t="s">
        <v>35</v>
      </c>
      <c r="J34" s="36">
        <v>73.14</v>
      </c>
      <c r="K34" s="36" t="s">
        <v>36</v>
      </c>
      <c r="L34" s="44" t="s">
        <v>62</v>
      </c>
      <c r="M34" s="11" t="s">
        <v>86</v>
      </c>
      <c r="N34" s="12">
        <v>2639567</v>
      </c>
      <c r="O34" s="13" t="s">
        <v>177</v>
      </c>
      <c r="P34" s="57" t="s">
        <v>178</v>
      </c>
      <c r="Q34" s="172">
        <v>46136</v>
      </c>
      <c r="R34" s="15">
        <v>46319</v>
      </c>
      <c r="S34" s="176">
        <v>46133</v>
      </c>
      <c r="T34" s="16">
        <v>46135</v>
      </c>
      <c r="U34" s="16">
        <v>46135</v>
      </c>
      <c r="V34" s="58" t="s">
        <v>41</v>
      </c>
      <c r="W34" s="58" t="s">
        <v>32</v>
      </c>
      <c r="X34" s="59" t="s">
        <v>43</v>
      </c>
      <c r="Y34" s="59" t="s">
        <v>32</v>
      </c>
      <c r="Z34" s="6" t="s">
        <v>179</v>
      </c>
      <c r="AA34" s="8" t="s">
        <v>43</v>
      </c>
      <c r="AB34" s="11" t="e">
        <f>+VLOOKUP(A34,'[1]VALID RIM NUEVAM'!A$1:O$65536,15,0)</f>
        <v>#N/A</v>
      </c>
      <c r="AC34" s="8" t="s">
        <v>43</v>
      </c>
      <c r="AD34" s="8">
        <v>2579888</v>
      </c>
      <c r="AE34" s="8" t="s">
        <v>183</v>
      </c>
    </row>
    <row r="35" spans="1:31" ht="75">
      <c r="A35" s="21" t="str">
        <f t="shared" si="0"/>
        <v>624274853053M COMPANY</v>
      </c>
      <c r="B35" s="45">
        <v>62427485305</v>
      </c>
      <c r="C35" s="21" t="s">
        <v>184</v>
      </c>
      <c r="D35" s="21">
        <v>3506910000</v>
      </c>
      <c r="E35" s="21" t="s">
        <v>32</v>
      </c>
      <c r="F35" s="22" t="s">
        <v>162</v>
      </c>
      <c r="G35" s="46" t="s">
        <v>32</v>
      </c>
      <c r="H35" s="22" t="s">
        <v>163</v>
      </c>
      <c r="I35" s="22" t="s">
        <v>35</v>
      </c>
      <c r="J35" s="47">
        <v>39.860190000000003</v>
      </c>
      <c r="K35" s="47" t="s">
        <v>36</v>
      </c>
      <c r="L35" s="48" t="s">
        <v>37</v>
      </c>
      <c r="M35" s="48" t="s">
        <v>164</v>
      </c>
      <c r="N35" s="49">
        <v>2639584</v>
      </c>
      <c r="O35" s="50" t="s">
        <v>185</v>
      </c>
      <c r="P35" s="51" t="s">
        <v>186</v>
      </c>
      <c r="Q35" s="173">
        <v>46147</v>
      </c>
      <c r="R35" s="52">
        <v>46331</v>
      </c>
      <c r="S35" s="177">
        <v>46133</v>
      </c>
      <c r="T35" s="53">
        <v>46146</v>
      </c>
      <c r="U35" s="53">
        <v>46146</v>
      </c>
      <c r="V35" s="54" t="s">
        <v>41</v>
      </c>
      <c r="W35" s="54" t="s">
        <v>32</v>
      </c>
      <c r="X35" s="55" t="s">
        <v>41</v>
      </c>
      <c r="Y35" s="51" t="s">
        <v>32</v>
      </c>
      <c r="Z35" s="56" t="s">
        <v>168</v>
      </c>
      <c r="AA35" s="56" t="s">
        <v>43</v>
      </c>
      <c r="AB35" s="48" t="e">
        <f>+VLOOKUP(A35,'[1]VALID RIM NUEVAM'!A$1:O$65536,15,0)</f>
        <v>#N/A</v>
      </c>
      <c r="AC35" s="22" t="s">
        <v>43</v>
      </c>
      <c r="AD35" s="22"/>
      <c r="AE35" s="22"/>
    </row>
    <row r="36" spans="1:31" ht="60">
      <c r="A36" s="6" t="str">
        <f t="shared" si="0"/>
        <v>806114344753M COMPANY</v>
      </c>
      <c r="B36" s="7">
        <v>80611434475</v>
      </c>
      <c r="C36" s="6" t="s">
        <v>31</v>
      </c>
      <c r="D36" s="6">
        <v>3814009000</v>
      </c>
      <c r="E36" s="6" t="s">
        <v>32</v>
      </c>
      <c r="F36" s="8" t="s">
        <v>187</v>
      </c>
      <c r="G36" s="9" t="s">
        <v>32</v>
      </c>
      <c r="H36" s="8" t="s">
        <v>188</v>
      </c>
      <c r="I36" s="8" t="s">
        <v>35</v>
      </c>
      <c r="J36" s="10">
        <v>3.9586899999999998</v>
      </c>
      <c r="K36" s="10" t="s">
        <v>36</v>
      </c>
      <c r="L36" s="11" t="s">
        <v>37</v>
      </c>
      <c r="M36" s="11" t="s">
        <v>38</v>
      </c>
      <c r="N36" s="12">
        <v>2679068</v>
      </c>
      <c r="O36" s="13" t="s">
        <v>189</v>
      </c>
      <c r="P36" s="14" t="s">
        <v>190</v>
      </c>
      <c r="Q36" s="172">
        <v>46240</v>
      </c>
      <c r="R36" s="15">
        <v>46331</v>
      </c>
      <c r="S36" s="176">
        <v>46234</v>
      </c>
      <c r="T36" s="16">
        <v>46238</v>
      </c>
      <c r="U36" s="16">
        <v>46238</v>
      </c>
      <c r="V36" s="17" t="s">
        <v>41</v>
      </c>
      <c r="W36" s="17" t="s">
        <v>32</v>
      </c>
      <c r="X36" s="18" t="s">
        <v>41</v>
      </c>
      <c r="Y36" s="14" t="s">
        <v>32</v>
      </c>
      <c r="Z36" s="6" t="s">
        <v>191</v>
      </c>
      <c r="AA36" s="8" t="s">
        <v>43</v>
      </c>
      <c r="AB36" s="6" t="e">
        <f>+VLOOKUP(A36,'[1]VALID RIM NUEVAM'!A$1:O$65536,15,0)</f>
        <v>#N/A</v>
      </c>
      <c r="AC36" s="8" t="s">
        <v>43</v>
      </c>
      <c r="AD36" s="8"/>
      <c r="AE36" s="8"/>
    </row>
    <row r="37" spans="1:31" ht="45">
      <c r="A37" s="6" t="str">
        <f t="shared" si="0"/>
        <v>806109226603M COMPANY</v>
      </c>
      <c r="B37" s="7">
        <v>80610922660</v>
      </c>
      <c r="C37" s="6" t="s">
        <v>192</v>
      </c>
      <c r="D37" s="6">
        <v>8546909000</v>
      </c>
      <c r="E37" s="6" t="s">
        <v>32</v>
      </c>
      <c r="F37" s="8">
        <v>3745</v>
      </c>
      <c r="G37" s="60">
        <v>47855</v>
      </c>
      <c r="H37" s="8" t="s">
        <v>122</v>
      </c>
      <c r="I37" s="8" t="s">
        <v>35</v>
      </c>
      <c r="J37" s="10">
        <v>78.350350000000006</v>
      </c>
      <c r="K37" s="36" t="s">
        <v>36</v>
      </c>
      <c r="L37" s="44" t="s">
        <v>37</v>
      </c>
      <c r="M37" s="11" t="s">
        <v>38</v>
      </c>
      <c r="N37" s="12">
        <v>2645050</v>
      </c>
      <c r="O37" s="13" t="s">
        <v>193</v>
      </c>
      <c r="P37" s="14" t="s">
        <v>194</v>
      </c>
      <c r="Q37" s="172">
        <v>46149</v>
      </c>
      <c r="R37" s="15">
        <v>46332</v>
      </c>
      <c r="S37" s="176">
        <v>46146</v>
      </c>
      <c r="T37" s="16">
        <v>46147</v>
      </c>
      <c r="U37" s="16">
        <v>46147</v>
      </c>
      <c r="V37" s="19" t="s">
        <v>41</v>
      </c>
      <c r="W37" s="19" t="s">
        <v>32</v>
      </c>
      <c r="X37" s="18" t="s">
        <v>41</v>
      </c>
      <c r="Y37" s="14" t="s">
        <v>32</v>
      </c>
      <c r="Z37" s="20" t="s">
        <v>195</v>
      </c>
      <c r="AA37" s="61" t="s">
        <v>43</v>
      </c>
      <c r="AB37" s="11" t="e">
        <f>+VLOOKUP(A37,'[1]VALID RIM NUEVAM'!A$1:O$65536,15,0)</f>
        <v>#N/A</v>
      </c>
      <c r="AC37" s="8" t="s">
        <v>43</v>
      </c>
      <c r="AD37" s="8"/>
      <c r="AE37" s="8"/>
    </row>
    <row r="38" spans="1:31" ht="45">
      <c r="A38" s="6" t="str">
        <f t="shared" si="0"/>
        <v>788141692293M COMPANY</v>
      </c>
      <c r="B38" s="7">
        <v>78814169229</v>
      </c>
      <c r="C38" s="6" t="s">
        <v>196</v>
      </c>
      <c r="D38" s="6">
        <v>8546909000</v>
      </c>
      <c r="E38" s="6" t="s">
        <v>32</v>
      </c>
      <c r="F38" s="8">
        <v>3745</v>
      </c>
      <c r="G38" s="60">
        <v>47855</v>
      </c>
      <c r="H38" s="8" t="s">
        <v>122</v>
      </c>
      <c r="I38" s="8" t="s">
        <v>35</v>
      </c>
      <c r="J38" s="10">
        <v>30.005700000000001</v>
      </c>
      <c r="K38" s="36" t="s">
        <v>36</v>
      </c>
      <c r="L38" s="44" t="s">
        <v>37</v>
      </c>
      <c r="M38" s="11" t="s">
        <v>38</v>
      </c>
      <c r="N38" s="12">
        <v>2645050</v>
      </c>
      <c r="O38" s="13" t="s">
        <v>193</v>
      </c>
      <c r="P38" s="14" t="s">
        <v>194</v>
      </c>
      <c r="Q38" s="172">
        <v>46149</v>
      </c>
      <c r="R38" s="15">
        <v>46332</v>
      </c>
      <c r="S38" s="176">
        <v>46146</v>
      </c>
      <c r="T38" s="16">
        <v>46147</v>
      </c>
      <c r="U38" s="16">
        <v>46147</v>
      </c>
      <c r="V38" s="19" t="s">
        <v>41</v>
      </c>
      <c r="W38" s="19" t="s">
        <v>32</v>
      </c>
      <c r="X38" s="18" t="s">
        <v>41</v>
      </c>
      <c r="Y38" s="14" t="s">
        <v>32</v>
      </c>
      <c r="Z38" s="20" t="s">
        <v>195</v>
      </c>
      <c r="AA38" s="61" t="s">
        <v>43</v>
      </c>
      <c r="AB38" s="11" t="e">
        <f>+VLOOKUP(A38,'[1]VALID RIM NUEVAM'!A$1:O$65536,15,0)</f>
        <v>#N/A</v>
      </c>
      <c r="AC38" s="8" t="s">
        <v>43</v>
      </c>
      <c r="AD38" s="8"/>
      <c r="AE38" s="8"/>
    </row>
    <row r="39" spans="1:31" ht="45">
      <c r="A39" s="6" t="str">
        <f t="shared" si="0"/>
        <v>806114503643M COMPANY</v>
      </c>
      <c r="B39" s="7">
        <v>80611450364</v>
      </c>
      <c r="C39" s="6" t="s">
        <v>197</v>
      </c>
      <c r="D39" s="6">
        <v>8546909000</v>
      </c>
      <c r="E39" s="6" t="s">
        <v>32</v>
      </c>
      <c r="F39" s="8">
        <v>3745</v>
      </c>
      <c r="G39" s="60">
        <v>47855</v>
      </c>
      <c r="H39" s="8" t="s">
        <v>122</v>
      </c>
      <c r="I39" s="8" t="s">
        <v>35</v>
      </c>
      <c r="J39" s="10">
        <v>109.44</v>
      </c>
      <c r="K39" s="36" t="s">
        <v>36</v>
      </c>
      <c r="L39" s="44" t="s">
        <v>37</v>
      </c>
      <c r="M39" s="11" t="s">
        <v>38</v>
      </c>
      <c r="N39" s="12">
        <v>2645050</v>
      </c>
      <c r="O39" s="13" t="s">
        <v>193</v>
      </c>
      <c r="P39" s="14" t="s">
        <v>194</v>
      </c>
      <c r="Q39" s="172">
        <v>46149</v>
      </c>
      <c r="R39" s="15">
        <v>46332</v>
      </c>
      <c r="S39" s="176">
        <v>46146</v>
      </c>
      <c r="T39" s="16">
        <v>46147</v>
      </c>
      <c r="U39" s="16">
        <v>46147</v>
      </c>
      <c r="V39" s="19" t="s">
        <v>41</v>
      </c>
      <c r="W39" s="19" t="s">
        <v>32</v>
      </c>
      <c r="X39" s="18" t="s">
        <v>41</v>
      </c>
      <c r="Y39" s="14" t="s">
        <v>32</v>
      </c>
      <c r="Z39" s="20" t="s">
        <v>195</v>
      </c>
      <c r="AA39" s="61" t="s">
        <v>43</v>
      </c>
      <c r="AB39" s="11" t="e">
        <f>+VLOOKUP(A39,'[1]VALID RIM NUEVAM'!A$1:O$65536,15,0)</f>
        <v>#N/A</v>
      </c>
      <c r="AC39" s="8" t="s">
        <v>43</v>
      </c>
      <c r="AD39" s="8"/>
      <c r="AE39" s="8"/>
    </row>
    <row r="40" spans="1:31" ht="45">
      <c r="A40" s="6" t="str">
        <f t="shared" si="0"/>
        <v>XX100024544MEDMIX SWITZERLAND</v>
      </c>
      <c r="B40" s="7" t="s">
        <v>198</v>
      </c>
      <c r="C40" s="6">
        <v>160240</v>
      </c>
      <c r="D40" s="6">
        <v>9018499000</v>
      </c>
      <c r="E40" s="6" t="s">
        <v>32</v>
      </c>
      <c r="F40" s="8">
        <v>2014078787</v>
      </c>
      <c r="G40" s="9" t="s">
        <v>32</v>
      </c>
      <c r="H40" s="8" t="s">
        <v>45</v>
      </c>
      <c r="I40" s="8" t="s">
        <v>199</v>
      </c>
      <c r="J40" s="10">
        <v>21.87</v>
      </c>
      <c r="K40" s="10" t="s">
        <v>200</v>
      </c>
      <c r="L40" s="11" t="s">
        <v>201</v>
      </c>
      <c r="M40" s="11" t="s">
        <v>38</v>
      </c>
      <c r="N40" s="12">
        <v>2645800</v>
      </c>
      <c r="O40" s="13" t="s">
        <v>202</v>
      </c>
      <c r="P40" s="14" t="s">
        <v>203</v>
      </c>
      <c r="Q40" s="172">
        <v>46153</v>
      </c>
      <c r="R40" s="15">
        <v>46337</v>
      </c>
      <c r="S40" s="176">
        <v>46148</v>
      </c>
      <c r="T40" s="16">
        <v>46151</v>
      </c>
      <c r="U40" s="16">
        <v>46151</v>
      </c>
      <c r="V40" s="19" t="s">
        <v>41</v>
      </c>
      <c r="W40" s="19" t="s">
        <v>32</v>
      </c>
      <c r="X40" s="18" t="s">
        <v>41</v>
      </c>
      <c r="Y40" s="14" t="s">
        <v>32</v>
      </c>
      <c r="Z40" s="6" t="s">
        <v>204</v>
      </c>
      <c r="AA40" s="8"/>
      <c r="AB40" s="11" t="e">
        <f>+VLOOKUP(A40,'[1]VALID RIM NUEVAM'!A$1:O$65536,15,0)</f>
        <v>#N/A</v>
      </c>
      <c r="AC40" s="8" t="s">
        <v>43</v>
      </c>
      <c r="AD40" s="8">
        <v>2578873</v>
      </c>
      <c r="AE40" s="8" t="s">
        <v>205</v>
      </c>
    </row>
    <row r="41" spans="1:31" ht="45">
      <c r="A41" s="6" t="str">
        <f t="shared" si="0"/>
        <v>700070499123M COMPANY</v>
      </c>
      <c r="B41" s="7">
        <v>70007049912</v>
      </c>
      <c r="C41" s="6" t="s">
        <v>206</v>
      </c>
      <c r="D41" s="6">
        <v>3809910000</v>
      </c>
      <c r="E41" s="6">
        <v>20187798</v>
      </c>
      <c r="F41" s="8" t="s">
        <v>207</v>
      </c>
      <c r="G41" s="9">
        <v>46577</v>
      </c>
      <c r="H41" s="8" t="s">
        <v>45</v>
      </c>
      <c r="I41" s="8" t="s">
        <v>35</v>
      </c>
      <c r="J41" s="36">
        <v>8.3248999999999995</v>
      </c>
      <c r="K41" s="36" t="s">
        <v>36</v>
      </c>
      <c r="L41" s="44" t="s">
        <v>62</v>
      </c>
      <c r="M41" s="11" t="s">
        <v>86</v>
      </c>
      <c r="N41" s="12">
        <v>2644518</v>
      </c>
      <c r="O41" s="13" t="s">
        <v>208</v>
      </c>
      <c r="P41" s="14" t="s">
        <v>209</v>
      </c>
      <c r="Q41" s="172">
        <v>46154</v>
      </c>
      <c r="R41" s="15">
        <v>46338</v>
      </c>
      <c r="S41" s="176">
        <v>46146</v>
      </c>
      <c r="T41" s="16">
        <v>46147</v>
      </c>
      <c r="U41" s="16">
        <v>46147</v>
      </c>
      <c r="V41" s="19" t="s">
        <v>41</v>
      </c>
      <c r="W41" s="19" t="s">
        <v>32</v>
      </c>
      <c r="X41" s="18" t="s">
        <v>41</v>
      </c>
      <c r="Y41" s="14" t="s">
        <v>32</v>
      </c>
      <c r="Z41" s="6" t="s">
        <v>210</v>
      </c>
      <c r="AA41" s="22"/>
      <c r="AB41" s="11" t="e">
        <f>+VLOOKUP(A41,'[1]VALID RIM NUEVAM'!A$1:O$65536,15,0)</f>
        <v>#N/A</v>
      </c>
      <c r="AC41" s="8" t="s">
        <v>43</v>
      </c>
      <c r="AD41" s="8">
        <v>2574870</v>
      </c>
      <c r="AE41" s="8" t="s">
        <v>211</v>
      </c>
    </row>
    <row r="42" spans="1:31" ht="60">
      <c r="A42" s="6" t="str">
        <f t="shared" si="0"/>
        <v>80610033245LUDWIG WUNKHAUS EXPORT COMPANIA LIMITADA</v>
      </c>
      <c r="B42" s="62">
        <v>80610033245</v>
      </c>
      <c r="C42" s="6">
        <v>30019</v>
      </c>
      <c r="D42" s="6">
        <v>8535909000</v>
      </c>
      <c r="E42" s="6" t="s">
        <v>32</v>
      </c>
      <c r="F42" s="8">
        <v>3517</v>
      </c>
      <c r="G42" s="9">
        <v>47733</v>
      </c>
      <c r="H42" s="8" t="s">
        <v>141</v>
      </c>
      <c r="I42" s="8" t="s">
        <v>212</v>
      </c>
      <c r="J42" s="10">
        <v>19.91</v>
      </c>
      <c r="K42" s="10" t="s">
        <v>36</v>
      </c>
      <c r="L42" s="11" t="s">
        <v>213</v>
      </c>
      <c r="M42" s="11" t="s">
        <v>38</v>
      </c>
      <c r="N42" s="12">
        <v>2645818</v>
      </c>
      <c r="O42" s="13" t="s">
        <v>214</v>
      </c>
      <c r="P42" s="63" t="s">
        <v>215</v>
      </c>
      <c r="Q42" s="172">
        <v>46154</v>
      </c>
      <c r="R42" s="15">
        <v>46338</v>
      </c>
      <c r="S42" s="176">
        <v>46148</v>
      </c>
      <c r="T42" s="16">
        <v>46150</v>
      </c>
      <c r="U42" s="16">
        <v>46150</v>
      </c>
      <c r="V42" s="20" t="s">
        <v>41</v>
      </c>
      <c r="W42" s="20" t="s">
        <v>32</v>
      </c>
      <c r="X42" s="18" t="s">
        <v>41</v>
      </c>
      <c r="Y42" s="14" t="s">
        <v>32</v>
      </c>
      <c r="Z42" s="20" t="s">
        <v>216</v>
      </c>
      <c r="AA42" s="64" t="s">
        <v>43</v>
      </c>
      <c r="AB42" s="11" t="e">
        <f>+VLOOKUP(A42,'[1]VALID RIM NUEVAM'!A$1:O$65536,15,0)</f>
        <v>#N/A</v>
      </c>
      <c r="AC42" s="8"/>
      <c r="AD42" s="8"/>
      <c r="AE42" s="8"/>
    </row>
    <row r="43" spans="1:31" ht="315">
      <c r="A43" s="6" t="str">
        <f t="shared" si="0"/>
        <v>XC0038287923M CHINA LIMITED</v>
      </c>
      <c r="B43" s="7" t="s">
        <v>217</v>
      </c>
      <c r="C43" s="6" t="s">
        <v>218</v>
      </c>
      <c r="D43" s="6" t="s">
        <v>219</v>
      </c>
      <c r="E43" s="6" t="s">
        <v>32</v>
      </c>
      <c r="F43" s="8" t="s">
        <v>220</v>
      </c>
      <c r="G43" s="9" t="s">
        <v>32</v>
      </c>
      <c r="H43" s="8" t="s">
        <v>45</v>
      </c>
      <c r="I43" s="8" t="s">
        <v>221</v>
      </c>
      <c r="J43" s="10">
        <v>9.4589999999999996</v>
      </c>
      <c r="K43" s="10" t="s">
        <v>36</v>
      </c>
      <c r="L43" s="11" t="s">
        <v>222</v>
      </c>
      <c r="M43" s="11" t="s">
        <v>86</v>
      </c>
      <c r="N43" s="12">
        <v>2645795</v>
      </c>
      <c r="O43" s="13" t="s">
        <v>223</v>
      </c>
      <c r="P43" s="14" t="s">
        <v>224</v>
      </c>
      <c r="Q43" s="172">
        <v>46155</v>
      </c>
      <c r="R43" s="15">
        <v>46339</v>
      </c>
      <c r="S43" s="176">
        <v>46148</v>
      </c>
      <c r="T43" s="16">
        <v>46154</v>
      </c>
      <c r="U43" s="16">
        <v>46154</v>
      </c>
      <c r="V43" s="19" t="s">
        <v>41</v>
      </c>
      <c r="W43" s="19" t="s">
        <v>32</v>
      </c>
      <c r="X43" s="18" t="s">
        <v>41</v>
      </c>
      <c r="Y43" s="14" t="s">
        <v>32</v>
      </c>
      <c r="Z43" s="6" t="s">
        <v>225</v>
      </c>
      <c r="AA43" s="8" t="s">
        <v>43</v>
      </c>
      <c r="AB43" s="11" t="e">
        <f>+VLOOKUP(A43,'[1]VALID RIM NUEVAM'!A$1:O$65536,15,0)</f>
        <v>#N/A</v>
      </c>
      <c r="AC43" s="8" t="s">
        <v>43</v>
      </c>
      <c r="AD43" s="8">
        <v>2532099</v>
      </c>
      <c r="AE43" s="8" t="s">
        <v>226</v>
      </c>
    </row>
    <row r="44" spans="1:31" ht="45">
      <c r="A44" s="6" t="str">
        <f t="shared" si="0"/>
        <v>800120203603M COMPANY</v>
      </c>
      <c r="B44" s="7">
        <v>80012020360</v>
      </c>
      <c r="C44" s="6" t="s">
        <v>227</v>
      </c>
      <c r="D44" s="6">
        <v>7019650000</v>
      </c>
      <c r="E44" s="6" t="s">
        <v>32</v>
      </c>
      <c r="F44" s="8">
        <v>3534</v>
      </c>
      <c r="G44" s="60">
        <v>47744</v>
      </c>
      <c r="H44" s="8" t="s">
        <v>122</v>
      </c>
      <c r="I44" s="8" t="s">
        <v>35</v>
      </c>
      <c r="J44" s="10">
        <v>5.4055</v>
      </c>
      <c r="K44" s="10" t="s">
        <v>36</v>
      </c>
      <c r="L44" s="11" t="s">
        <v>37</v>
      </c>
      <c r="M44" s="11" t="s">
        <v>96</v>
      </c>
      <c r="N44" s="12">
        <v>2646986</v>
      </c>
      <c r="O44" s="13" t="s">
        <v>228</v>
      </c>
      <c r="P44" s="14" t="s">
        <v>229</v>
      </c>
      <c r="Q44" s="172">
        <v>46156</v>
      </c>
      <c r="R44" s="15">
        <v>46340</v>
      </c>
      <c r="S44" s="176">
        <v>46150</v>
      </c>
      <c r="T44" s="16">
        <v>46154</v>
      </c>
      <c r="U44" s="16">
        <v>46154</v>
      </c>
      <c r="V44" s="20" t="s">
        <v>41</v>
      </c>
      <c r="W44" s="20" t="s">
        <v>32</v>
      </c>
      <c r="X44" s="18" t="s">
        <v>41</v>
      </c>
      <c r="Y44" s="14" t="s">
        <v>32</v>
      </c>
      <c r="Z44" s="20" t="s">
        <v>195</v>
      </c>
      <c r="AA44" s="61" t="s">
        <v>43</v>
      </c>
      <c r="AB44" s="11" t="e">
        <f>+VLOOKUP(A44,'[1]VALID RIM NUEVAM'!A$1:O$65536,15,0)</f>
        <v>#N/A</v>
      </c>
      <c r="AC44" s="8" t="s">
        <v>41</v>
      </c>
      <c r="AD44" s="8"/>
      <c r="AE44" s="8"/>
    </row>
    <row r="45" spans="1:31" ht="45">
      <c r="A45" s="6" t="str">
        <f t="shared" si="0"/>
        <v>806108397083M COMPANY</v>
      </c>
      <c r="B45" s="7">
        <v>80610839708</v>
      </c>
      <c r="C45" s="6" t="s">
        <v>230</v>
      </c>
      <c r="D45" s="6">
        <v>8546909000</v>
      </c>
      <c r="E45" s="6" t="s">
        <v>32</v>
      </c>
      <c r="F45" s="8">
        <v>3745</v>
      </c>
      <c r="G45" s="60">
        <v>47855</v>
      </c>
      <c r="H45" s="8" t="s">
        <v>122</v>
      </c>
      <c r="I45" s="8" t="s">
        <v>35</v>
      </c>
      <c r="J45" s="10">
        <v>67.27</v>
      </c>
      <c r="K45" s="10" t="s">
        <v>36</v>
      </c>
      <c r="L45" s="11" t="s">
        <v>37</v>
      </c>
      <c r="M45" s="11" t="s">
        <v>38</v>
      </c>
      <c r="N45" s="12">
        <v>2646986</v>
      </c>
      <c r="O45" s="13" t="s">
        <v>228</v>
      </c>
      <c r="P45" s="14" t="s">
        <v>229</v>
      </c>
      <c r="Q45" s="172">
        <v>46156</v>
      </c>
      <c r="R45" s="15">
        <v>46340</v>
      </c>
      <c r="S45" s="176">
        <v>46150</v>
      </c>
      <c r="T45" s="16">
        <v>46154</v>
      </c>
      <c r="U45" s="16">
        <v>46154</v>
      </c>
      <c r="V45" s="20" t="s">
        <v>41</v>
      </c>
      <c r="W45" s="20" t="s">
        <v>32</v>
      </c>
      <c r="X45" s="18" t="s">
        <v>41</v>
      </c>
      <c r="Y45" s="14" t="s">
        <v>32</v>
      </c>
      <c r="Z45" s="20" t="s">
        <v>195</v>
      </c>
      <c r="AA45" s="61" t="s">
        <v>43</v>
      </c>
      <c r="AB45" s="11" t="e">
        <f>+VLOOKUP(A45,'[1]VALID RIM NUEVAM'!A$1:O$65536,15,0)</f>
        <v>#N/A</v>
      </c>
      <c r="AC45" s="8" t="s">
        <v>43</v>
      </c>
      <c r="AD45" s="8"/>
      <c r="AE45" s="8"/>
    </row>
    <row r="46" spans="1:31" ht="45">
      <c r="A46" s="6" t="str">
        <f t="shared" si="0"/>
        <v>806114504483M COMPANY</v>
      </c>
      <c r="B46" s="7">
        <v>80611450448</v>
      </c>
      <c r="C46" s="6" t="s">
        <v>231</v>
      </c>
      <c r="D46" s="6">
        <v>8546909000</v>
      </c>
      <c r="E46" s="6" t="s">
        <v>32</v>
      </c>
      <c r="F46" s="8">
        <v>3745</v>
      </c>
      <c r="G46" s="60">
        <v>47855</v>
      </c>
      <c r="H46" s="8" t="s">
        <v>122</v>
      </c>
      <c r="I46" s="8" t="s">
        <v>35</v>
      </c>
      <c r="J46" s="10">
        <v>74.926670000000001</v>
      </c>
      <c r="K46" s="10" t="s">
        <v>36</v>
      </c>
      <c r="L46" s="11" t="s">
        <v>37</v>
      </c>
      <c r="M46" s="11" t="s">
        <v>232</v>
      </c>
      <c r="N46" s="12">
        <v>2646986</v>
      </c>
      <c r="O46" s="13" t="s">
        <v>228</v>
      </c>
      <c r="P46" s="14" t="s">
        <v>229</v>
      </c>
      <c r="Q46" s="172">
        <v>46156</v>
      </c>
      <c r="R46" s="15">
        <v>46340</v>
      </c>
      <c r="S46" s="176">
        <v>46150</v>
      </c>
      <c r="T46" s="16">
        <v>46154</v>
      </c>
      <c r="U46" s="16">
        <v>46154</v>
      </c>
      <c r="V46" s="20" t="s">
        <v>41</v>
      </c>
      <c r="W46" s="20" t="s">
        <v>32</v>
      </c>
      <c r="X46" s="18" t="s">
        <v>41</v>
      </c>
      <c r="Y46" s="14" t="s">
        <v>32</v>
      </c>
      <c r="Z46" s="20" t="s">
        <v>195</v>
      </c>
      <c r="AA46" s="61" t="s">
        <v>43</v>
      </c>
      <c r="AB46" s="11" t="e">
        <f>+VLOOKUP(A46,'[1]VALID RIM NUEVAM'!A$1:O$65536,15,0)</f>
        <v>#N/A</v>
      </c>
      <c r="AC46" s="8" t="s">
        <v>43</v>
      </c>
      <c r="AD46" s="8"/>
      <c r="AE46" s="8"/>
    </row>
    <row r="47" spans="1:31" ht="45">
      <c r="A47" s="6" t="str">
        <f t="shared" si="0"/>
        <v>806105929923M COMPANY</v>
      </c>
      <c r="B47" s="7">
        <v>80610592992</v>
      </c>
      <c r="C47" s="6" t="s">
        <v>114</v>
      </c>
      <c r="D47" s="6">
        <v>3814009000</v>
      </c>
      <c r="E47" s="6" t="s">
        <v>32</v>
      </c>
      <c r="F47" s="8" t="s">
        <v>115</v>
      </c>
      <c r="G47" s="9" t="s">
        <v>32</v>
      </c>
      <c r="H47" s="8" t="s">
        <v>108</v>
      </c>
      <c r="I47" s="8" t="s">
        <v>35</v>
      </c>
      <c r="J47" s="10">
        <v>3.8715000000000002</v>
      </c>
      <c r="K47" s="10" t="s">
        <v>36</v>
      </c>
      <c r="L47" s="11" t="s">
        <v>37</v>
      </c>
      <c r="M47" s="11" t="s">
        <v>116</v>
      </c>
      <c r="N47" s="12">
        <v>2684431</v>
      </c>
      <c r="O47" s="13" t="s">
        <v>233</v>
      </c>
      <c r="P47" s="14" t="s">
        <v>234</v>
      </c>
      <c r="Q47" s="172">
        <v>46253</v>
      </c>
      <c r="R47" s="15">
        <v>46344</v>
      </c>
      <c r="S47" s="176">
        <v>46246</v>
      </c>
      <c r="T47" s="16">
        <v>46247</v>
      </c>
      <c r="U47" s="16">
        <v>46247</v>
      </c>
      <c r="V47" s="17" t="s">
        <v>41</v>
      </c>
      <c r="W47" s="17" t="s">
        <v>32</v>
      </c>
      <c r="X47" s="18" t="s">
        <v>41</v>
      </c>
      <c r="Y47" s="14" t="s">
        <v>32</v>
      </c>
      <c r="Z47" s="6" t="s">
        <v>235</v>
      </c>
      <c r="AA47" s="8" t="s">
        <v>43</v>
      </c>
      <c r="AB47" s="65" t="e">
        <f>+VLOOKUP(A47,'[1]VALID RIM NUEVAM'!A$1:O$65536,15,0)</f>
        <v>#N/A</v>
      </c>
      <c r="AC47" s="8" t="s">
        <v>43</v>
      </c>
      <c r="AD47" s="8"/>
      <c r="AE47" s="8"/>
    </row>
    <row r="48" spans="1:31" ht="45">
      <c r="A48" s="6" t="s">
        <v>236</v>
      </c>
      <c r="B48" s="7" t="s">
        <v>237</v>
      </c>
      <c r="C48" s="6" t="s">
        <v>238</v>
      </c>
      <c r="D48" s="6" t="s">
        <v>239</v>
      </c>
      <c r="E48" s="6" t="s">
        <v>32</v>
      </c>
      <c r="F48" s="8">
        <v>2538</v>
      </c>
      <c r="G48" s="9">
        <v>47877</v>
      </c>
      <c r="H48" s="8" t="s">
        <v>141</v>
      </c>
      <c r="I48" s="8" t="s">
        <v>240</v>
      </c>
      <c r="J48" s="10">
        <v>81.12</v>
      </c>
      <c r="K48" s="10" t="s">
        <v>36</v>
      </c>
      <c r="L48" s="11" t="s">
        <v>222</v>
      </c>
      <c r="M48" s="11" t="s">
        <v>38</v>
      </c>
      <c r="N48" s="12">
        <v>2638212</v>
      </c>
      <c r="O48" s="13" t="s">
        <v>241</v>
      </c>
      <c r="P48" s="14" t="s">
        <v>242</v>
      </c>
      <c r="Q48" s="172">
        <v>46163</v>
      </c>
      <c r="R48" s="15">
        <v>46347</v>
      </c>
      <c r="S48" s="176">
        <v>46128</v>
      </c>
      <c r="T48" s="16">
        <v>46159</v>
      </c>
      <c r="U48" s="16">
        <v>46161</v>
      </c>
      <c r="V48" s="19" t="s">
        <v>41</v>
      </c>
      <c r="W48" s="19" t="s">
        <v>32</v>
      </c>
      <c r="X48" s="18" t="s">
        <v>41</v>
      </c>
      <c r="Y48" s="14" t="s">
        <v>32</v>
      </c>
      <c r="Z48" s="6" t="s">
        <v>243</v>
      </c>
      <c r="AA48" s="8" t="s">
        <v>43</v>
      </c>
      <c r="AB48" s="11">
        <f>+VLOOKUP(A48,'[1]VALID RIM NUEVAM'!A$1:N$65536,14,0)</f>
        <v>2688402</v>
      </c>
      <c r="AC48" s="8" t="s">
        <v>43</v>
      </c>
      <c r="AD48" s="8" t="e">
        <v>#N/A</v>
      </c>
      <c r="AE48" s="8" t="s">
        <v>244</v>
      </c>
    </row>
    <row r="49" spans="1:31" ht="45">
      <c r="A49" s="6" t="s">
        <v>245</v>
      </c>
      <c r="B49" s="7" t="s">
        <v>246</v>
      </c>
      <c r="C49" s="6" t="s">
        <v>247</v>
      </c>
      <c r="D49" s="6" t="s">
        <v>239</v>
      </c>
      <c r="E49" s="6" t="s">
        <v>32</v>
      </c>
      <c r="F49" s="8">
        <v>2538</v>
      </c>
      <c r="G49" s="9">
        <v>47877</v>
      </c>
      <c r="H49" s="8" t="s">
        <v>141</v>
      </c>
      <c r="I49" s="8" t="s">
        <v>240</v>
      </c>
      <c r="J49" s="10">
        <v>327.64999999999998</v>
      </c>
      <c r="K49" s="10" t="s">
        <v>36</v>
      </c>
      <c r="L49" s="11" t="s">
        <v>222</v>
      </c>
      <c r="M49" s="11" t="s">
        <v>38</v>
      </c>
      <c r="N49" s="12">
        <v>2638212</v>
      </c>
      <c r="O49" s="13" t="s">
        <v>241</v>
      </c>
      <c r="P49" s="14" t="s">
        <v>242</v>
      </c>
      <c r="Q49" s="172">
        <v>46163</v>
      </c>
      <c r="R49" s="15">
        <v>46347</v>
      </c>
      <c r="S49" s="176">
        <v>46128</v>
      </c>
      <c r="T49" s="16">
        <v>46159</v>
      </c>
      <c r="U49" s="16">
        <v>46161</v>
      </c>
      <c r="V49" s="19" t="s">
        <v>41</v>
      </c>
      <c r="W49" s="19" t="s">
        <v>32</v>
      </c>
      <c r="X49" s="18" t="s">
        <v>41</v>
      </c>
      <c r="Y49" s="14" t="s">
        <v>32</v>
      </c>
      <c r="Z49" s="6" t="s">
        <v>243</v>
      </c>
      <c r="AA49" s="8" t="s">
        <v>43</v>
      </c>
      <c r="AB49" s="11">
        <f>+VLOOKUP(A49,'[1]VALID RIM NUEVAM'!A$1:N$65536,14,0)</f>
        <v>2688402</v>
      </c>
      <c r="AC49" s="8" t="s">
        <v>43</v>
      </c>
      <c r="AD49" s="8" t="e">
        <v>#N/A</v>
      </c>
      <c r="AE49" s="8" t="s">
        <v>244</v>
      </c>
    </row>
    <row r="50" spans="1:31" ht="45">
      <c r="A50" s="6" t="s">
        <v>248</v>
      </c>
      <c r="B50" s="7" t="s">
        <v>249</v>
      </c>
      <c r="C50" s="6" t="s">
        <v>250</v>
      </c>
      <c r="D50" s="6" t="s">
        <v>239</v>
      </c>
      <c r="E50" s="6" t="s">
        <v>32</v>
      </c>
      <c r="F50" s="8">
        <v>2538</v>
      </c>
      <c r="G50" s="9">
        <v>47877</v>
      </c>
      <c r="H50" s="8" t="s">
        <v>141</v>
      </c>
      <c r="I50" s="8" t="s">
        <v>240</v>
      </c>
      <c r="J50" s="10">
        <v>86.66</v>
      </c>
      <c r="K50" s="10" t="s">
        <v>36</v>
      </c>
      <c r="L50" s="11" t="s">
        <v>222</v>
      </c>
      <c r="M50" s="11" t="s">
        <v>38</v>
      </c>
      <c r="N50" s="12">
        <v>2638212</v>
      </c>
      <c r="O50" s="13" t="s">
        <v>241</v>
      </c>
      <c r="P50" s="14" t="s">
        <v>242</v>
      </c>
      <c r="Q50" s="172">
        <v>46163</v>
      </c>
      <c r="R50" s="15">
        <v>46347</v>
      </c>
      <c r="S50" s="176">
        <v>46128</v>
      </c>
      <c r="T50" s="16">
        <v>46159</v>
      </c>
      <c r="U50" s="16">
        <v>46161</v>
      </c>
      <c r="V50" s="19" t="s">
        <v>41</v>
      </c>
      <c r="W50" s="19" t="s">
        <v>32</v>
      </c>
      <c r="X50" s="18" t="s">
        <v>41</v>
      </c>
      <c r="Y50" s="14" t="s">
        <v>32</v>
      </c>
      <c r="Z50" s="6" t="s">
        <v>243</v>
      </c>
      <c r="AA50" s="8" t="s">
        <v>43</v>
      </c>
      <c r="AB50" s="11">
        <f>+VLOOKUP(A50,'[1]VALID RIM NUEVAM'!A$1:N$65536,14,0)</f>
        <v>2688402</v>
      </c>
      <c r="AC50" s="8" t="s">
        <v>43</v>
      </c>
      <c r="AD50" s="8" t="e">
        <v>#N/A</v>
      </c>
      <c r="AE50" s="8" t="s">
        <v>244</v>
      </c>
    </row>
    <row r="51" spans="1:31" ht="45">
      <c r="A51" s="6" t="s">
        <v>251</v>
      </c>
      <c r="B51" s="7" t="s">
        <v>252</v>
      </c>
      <c r="C51" s="6" t="s">
        <v>253</v>
      </c>
      <c r="D51" s="6" t="s">
        <v>239</v>
      </c>
      <c r="E51" s="6" t="s">
        <v>32</v>
      </c>
      <c r="F51" s="8">
        <v>2538</v>
      </c>
      <c r="G51" s="9">
        <v>47877</v>
      </c>
      <c r="H51" s="8" t="s">
        <v>141</v>
      </c>
      <c r="I51" s="8" t="s">
        <v>240</v>
      </c>
      <c r="J51" s="10">
        <v>276.73</v>
      </c>
      <c r="K51" s="10" t="s">
        <v>36</v>
      </c>
      <c r="L51" s="11" t="s">
        <v>222</v>
      </c>
      <c r="M51" s="11" t="s">
        <v>38</v>
      </c>
      <c r="N51" s="12">
        <v>2638212</v>
      </c>
      <c r="O51" s="13" t="s">
        <v>241</v>
      </c>
      <c r="P51" s="14" t="s">
        <v>242</v>
      </c>
      <c r="Q51" s="172">
        <v>46163</v>
      </c>
      <c r="R51" s="15">
        <v>46347</v>
      </c>
      <c r="S51" s="176">
        <v>46128</v>
      </c>
      <c r="T51" s="16">
        <v>46159</v>
      </c>
      <c r="U51" s="16">
        <v>46161</v>
      </c>
      <c r="V51" s="19" t="s">
        <v>41</v>
      </c>
      <c r="W51" s="19" t="s">
        <v>32</v>
      </c>
      <c r="X51" s="18" t="s">
        <v>41</v>
      </c>
      <c r="Y51" s="14" t="s">
        <v>32</v>
      </c>
      <c r="Z51" s="6" t="s">
        <v>243</v>
      </c>
      <c r="AA51" s="8" t="s">
        <v>43</v>
      </c>
      <c r="AB51" s="11">
        <f>+VLOOKUP(A51,'[1]VALID RIM NUEVAM'!A$1:N$65536,14,0)</f>
        <v>2688402</v>
      </c>
      <c r="AC51" s="8" t="s">
        <v>43</v>
      </c>
      <c r="AD51" s="8" t="e">
        <v>#N/A</v>
      </c>
      <c r="AE51" s="8" t="s">
        <v>244</v>
      </c>
    </row>
    <row r="52" spans="1:31" ht="45">
      <c r="A52" s="6" t="s">
        <v>254</v>
      </c>
      <c r="B52" s="7" t="s">
        <v>255</v>
      </c>
      <c r="C52" s="6" t="s">
        <v>256</v>
      </c>
      <c r="D52" s="6" t="s">
        <v>239</v>
      </c>
      <c r="E52" s="6" t="s">
        <v>32</v>
      </c>
      <c r="F52" s="8">
        <v>2538</v>
      </c>
      <c r="G52" s="9">
        <v>47877</v>
      </c>
      <c r="H52" s="8" t="s">
        <v>141</v>
      </c>
      <c r="I52" s="8" t="s">
        <v>240</v>
      </c>
      <c r="J52" s="10">
        <v>49.53</v>
      </c>
      <c r="K52" s="10" t="s">
        <v>36</v>
      </c>
      <c r="L52" s="11" t="s">
        <v>222</v>
      </c>
      <c r="M52" s="11" t="s">
        <v>38</v>
      </c>
      <c r="N52" s="12">
        <v>2638212</v>
      </c>
      <c r="O52" s="13" t="s">
        <v>241</v>
      </c>
      <c r="P52" s="14" t="s">
        <v>242</v>
      </c>
      <c r="Q52" s="172">
        <v>46163</v>
      </c>
      <c r="R52" s="15">
        <v>46347</v>
      </c>
      <c r="S52" s="176">
        <v>46128</v>
      </c>
      <c r="T52" s="16">
        <v>46159</v>
      </c>
      <c r="U52" s="16">
        <v>46161</v>
      </c>
      <c r="V52" s="19" t="s">
        <v>41</v>
      </c>
      <c r="W52" s="19" t="s">
        <v>32</v>
      </c>
      <c r="X52" s="18" t="s">
        <v>41</v>
      </c>
      <c r="Y52" s="14" t="s">
        <v>32</v>
      </c>
      <c r="Z52" s="6" t="s">
        <v>243</v>
      </c>
      <c r="AA52" s="8" t="s">
        <v>43</v>
      </c>
      <c r="AB52" s="11">
        <f>+VLOOKUP(A52,'[1]VALID RIM NUEVAM'!A$1:N$65536,14,0)</f>
        <v>2688402</v>
      </c>
      <c r="AC52" s="8" t="s">
        <v>43</v>
      </c>
      <c r="AD52" s="8" t="e">
        <v>#N/A</v>
      </c>
      <c r="AE52" s="8" t="s">
        <v>244</v>
      </c>
    </row>
    <row r="53" spans="1:31" ht="45">
      <c r="A53" s="6" t="s">
        <v>257</v>
      </c>
      <c r="B53" s="7" t="s">
        <v>258</v>
      </c>
      <c r="C53" s="6" t="s">
        <v>259</v>
      </c>
      <c r="D53" s="6" t="s">
        <v>239</v>
      </c>
      <c r="E53" s="6" t="s">
        <v>32</v>
      </c>
      <c r="F53" s="8">
        <v>2538</v>
      </c>
      <c r="G53" s="9">
        <v>47877</v>
      </c>
      <c r="H53" s="8" t="s">
        <v>141</v>
      </c>
      <c r="I53" s="8" t="s">
        <v>240</v>
      </c>
      <c r="J53" s="10">
        <v>75.03</v>
      </c>
      <c r="K53" s="10" t="s">
        <v>36</v>
      </c>
      <c r="L53" s="11" t="s">
        <v>222</v>
      </c>
      <c r="M53" s="11" t="s">
        <v>38</v>
      </c>
      <c r="N53" s="12">
        <v>2638212</v>
      </c>
      <c r="O53" s="13" t="s">
        <v>241</v>
      </c>
      <c r="P53" s="14" t="s">
        <v>242</v>
      </c>
      <c r="Q53" s="172">
        <v>46163</v>
      </c>
      <c r="R53" s="15">
        <v>46347</v>
      </c>
      <c r="S53" s="176">
        <v>46128</v>
      </c>
      <c r="T53" s="16">
        <v>46159</v>
      </c>
      <c r="U53" s="16">
        <v>46161</v>
      </c>
      <c r="V53" s="19" t="s">
        <v>41</v>
      </c>
      <c r="W53" s="19" t="s">
        <v>32</v>
      </c>
      <c r="X53" s="18" t="s">
        <v>41</v>
      </c>
      <c r="Y53" s="14" t="s">
        <v>32</v>
      </c>
      <c r="Z53" s="6" t="s">
        <v>243</v>
      </c>
      <c r="AA53" s="8" t="s">
        <v>43</v>
      </c>
      <c r="AB53" s="11">
        <f>+VLOOKUP(A53,'[1]VALID RIM NUEVAM'!A$1:N$65536,14,0)</f>
        <v>2688402</v>
      </c>
      <c r="AC53" s="8" t="s">
        <v>43</v>
      </c>
      <c r="AD53" s="8" t="e">
        <v>#N/A</v>
      </c>
      <c r="AE53" s="8" t="s">
        <v>244</v>
      </c>
    </row>
    <row r="54" spans="1:31" ht="45">
      <c r="A54" s="6" t="s">
        <v>260</v>
      </c>
      <c r="B54" s="7" t="s">
        <v>261</v>
      </c>
      <c r="C54" s="6" t="s">
        <v>262</v>
      </c>
      <c r="D54" s="6" t="s">
        <v>239</v>
      </c>
      <c r="E54" s="6" t="s">
        <v>32</v>
      </c>
      <c r="F54" s="8">
        <v>2538</v>
      </c>
      <c r="G54" s="9">
        <v>47877</v>
      </c>
      <c r="H54" s="8" t="s">
        <v>141</v>
      </c>
      <c r="I54" s="8" t="s">
        <v>240</v>
      </c>
      <c r="J54" s="10">
        <v>26.36</v>
      </c>
      <c r="K54" s="10" t="s">
        <v>36</v>
      </c>
      <c r="L54" s="11" t="s">
        <v>222</v>
      </c>
      <c r="M54" s="11" t="s">
        <v>38</v>
      </c>
      <c r="N54" s="12">
        <v>2638212</v>
      </c>
      <c r="O54" s="13" t="s">
        <v>241</v>
      </c>
      <c r="P54" s="14" t="s">
        <v>242</v>
      </c>
      <c r="Q54" s="172">
        <v>46163</v>
      </c>
      <c r="R54" s="15">
        <v>46347</v>
      </c>
      <c r="S54" s="176">
        <v>46128</v>
      </c>
      <c r="T54" s="16">
        <v>46159</v>
      </c>
      <c r="U54" s="16">
        <v>46161</v>
      </c>
      <c r="V54" s="19" t="s">
        <v>41</v>
      </c>
      <c r="W54" s="19" t="s">
        <v>32</v>
      </c>
      <c r="X54" s="18" t="s">
        <v>41</v>
      </c>
      <c r="Y54" s="14" t="s">
        <v>32</v>
      </c>
      <c r="Z54" s="6" t="s">
        <v>243</v>
      </c>
      <c r="AA54" s="8" t="s">
        <v>43</v>
      </c>
      <c r="AB54" s="11">
        <f>+VLOOKUP(A54,'[1]VALID RIM NUEVAM'!A$1:N$65536,14,0)</f>
        <v>2688402</v>
      </c>
      <c r="AC54" s="8" t="s">
        <v>43</v>
      </c>
      <c r="AD54" s="8">
        <v>2537044</v>
      </c>
      <c r="AE54" s="8" t="s">
        <v>263</v>
      </c>
    </row>
    <row r="55" spans="1:31" ht="45">
      <c r="A55" s="6" t="s">
        <v>264</v>
      </c>
      <c r="B55" s="7" t="s">
        <v>265</v>
      </c>
      <c r="C55" s="6" t="s">
        <v>266</v>
      </c>
      <c r="D55" s="6">
        <v>8547909000</v>
      </c>
      <c r="E55" s="6" t="s">
        <v>32</v>
      </c>
      <c r="F55" s="8">
        <v>2538</v>
      </c>
      <c r="G55" s="9">
        <v>47877</v>
      </c>
      <c r="H55" s="8" t="s">
        <v>141</v>
      </c>
      <c r="I55" s="8" t="s">
        <v>240</v>
      </c>
      <c r="J55" s="10">
        <v>21.96</v>
      </c>
      <c r="K55" s="10" t="s">
        <v>36</v>
      </c>
      <c r="L55" s="11" t="s">
        <v>222</v>
      </c>
      <c r="M55" s="11" t="s">
        <v>38</v>
      </c>
      <c r="N55" s="12">
        <v>2638212</v>
      </c>
      <c r="O55" s="13" t="s">
        <v>241</v>
      </c>
      <c r="P55" s="14" t="s">
        <v>242</v>
      </c>
      <c r="Q55" s="172">
        <v>46163</v>
      </c>
      <c r="R55" s="15">
        <v>46347</v>
      </c>
      <c r="S55" s="176">
        <v>46128</v>
      </c>
      <c r="T55" s="16">
        <v>46159</v>
      </c>
      <c r="U55" s="16">
        <v>46161</v>
      </c>
      <c r="V55" s="19" t="s">
        <v>41</v>
      </c>
      <c r="W55" s="19" t="s">
        <v>32</v>
      </c>
      <c r="X55" s="18" t="s">
        <v>41</v>
      </c>
      <c r="Y55" s="14" t="s">
        <v>32</v>
      </c>
      <c r="Z55" s="6" t="s">
        <v>243</v>
      </c>
      <c r="AA55" s="8" t="s">
        <v>43</v>
      </c>
      <c r="AB55" s="11">
        <f>+VLOOKUP(A55,'[1]VALID RIM NUEVAM'!A$1:N$65536,14,0)</f>
        <v>2688402</v>
      </c>
      <c r="AC55" s="8" t="s">
        <v>43</v>
      </c>
      <c r="AD55" s="8"/>
      <c r="AE55" s="8" t="s">
        <v>267</v>
      </c>
    </row>
    <row r="56" spans="1:31" ht="45">
      <c r="A56" s="6" t="s">
        <v>268</v>
      </c>
      <c r="B56" s="7" t="s">
        <v>269</v>
      </c>
      <c r="C56" s="6" t="s">
        <v>270</v>
      </c>
      <c r="D56" s="6">
        <v>8547909000</v>
      </c>
      <c r="E56" s="6" t="s">
        <v>32</v>
      </c>
      <c r="F56" s="8">
        <v>2538</v>
      </c>
      <c r="G56" s="9">
        <v>47877</v>
      </c>
      <c r="H56" s="8" t="s">
        <v>141</v>
      </c>
      <c r="I56" s="8" t="s">
        <v>240</v>
      </c>
      <c r="J56" s="10">
        <v>20.86</v>
      </c>
      <c r="K56" s="10" t="s">
        <v>36</v>
      </c>
      <c r="L56" s="11" t="s">
        <v>222</v>
      </c>
      <c r="M56" s="11" t="s">
        <v>38</v>
      </c>
      <c r="N56" s="12">
        <v>2638212</v>
      </c>
      <c r="O56" s="13" t="s">
        <v>241</v>
      </c>
      <c r="P56" s="14" t="s">
        <v>242</v>
      </c>
      <c r="Q56" s="172">
        <v>46163</v>
      </c>
      <c r="R56" s="15">
        <v>46347</v>
      </c>
      <c r="S56" s="176">
        <v>46128</v>
      </c>
      <c r="T56" s="16">
        <v>46159</v>
      </c>
      <c r="U56" s="16">
        <v>46161</v>
      </c>
      <c r="V56" s="19" t="s">
        <v>41</v>
      </c>
      <c r="W56" s="19" t="s">
        <v>32</v>
      </c>
      <c r="X56" s="18" t="s">
        <v>41</v>
      </c>
      <c r="Y56" s="14" t="s">
        <v>32</v>
      </c>
      <c r="Z56" s="6" t="s">
        <v>243</v>
      </c>
      <c r="AA56" s="8" t="s">
        <v>43</v>
      </c>
      <c r="AB56" s="11">
        <f>+VLOOKUP(A56,'[1]VALID RIM NUEVAM'!A$1:N$65536,14,0)</f>
        <v>2688402</v>
      </c>
      <c r="AC56" s="8" t="s">
        <v>43</v>
      </c>
      <c r="AD56" s="8"/>
      <c r="AE56" s="8" t="s">
        <v>267</v>
      </c>
    </row>
    <row r="57" spans="1:31" ht="45">
      <c r="A57" s="6" t="s">
        <v>271</v>
      </c>
      <c r="B57" s="7" t="s">
        <v>272</v>
      </c>
      <c r="C57" s="6" t="s">
        <v>273</v>
      </c>
      <c r="D57" s="6">
        <v>8547909000</v>
      </c>
      <c r="E57" s="6" t="s">
        <v>32</v>
      </c>
      <c r="F57" s="8">
        <v>2538</v>
      </c>
      <c r="G57" s="9">
        <v>47877</v>
      </c>
      <c r="H57" s="8" t="s">
        <v>141</v>
      </c>
      <c r="I57" s="8" t="s">
        <v>240</v>
      </c>
      <c r="J57" s="10">
        <v>20.86</v>
      </c>
      <c r="K57" s="10" t="s">
        <v>36</v>
      </c>
      <c r="L57" s="11" t="s">
        <v>222</v>
      </c>
      <c r="M57" s="11" t="s">
        <v>38</v>
      </c>
      <c r="N57" s="12">
        <v>2638212</v>
      </c>
      <c r="O57" s="13" t="s">
        <v>241</v>
      </c>
      <c r="P57" s="14" t="s">
        <v>242</v>
      </c>
      <c r="Q57" s="172">
        <v>46163</v>
      </c>
      <c r="R57" s="15">
        <v>46347</v>
      </c>
      <c r="S57" s="176">
        <v>46128</v>
      </c>
      <c r="T57" s="16">
        <v>46159</v>
      </c>
      <c r="U57" s="16">
        <v>46161</v>
      </c>
      <c r="V57" s="19" t="s">
        <v>41</v>
      </c>
      <c r="W57" s="19" t="s">
        <v>32</v>
      </c>
      <c r="X57" s="18" t="s">
        <v>41</v>
      </c>
      <c r="Y57" s="14" t="s">
        <v>32</v>
      </c>
      <c r="Z57" s="6" t="s">
        <v>243</v>
      </c>
      <c r="AA57" s="8" t="s">
        <v>43</v>
      </c>
      <c r="AB57" s="11">
        <f>+VLOOKUP(A57,'[1]VALID RIM NUEVAM'!A$1:N$65536,14,0)</f>
        <v>2688402</v>
      </c>
      <c r="AC57" s="8" t="s">
        <v>43</v>
      </c>
      <c r="AD57" s="8"/>
      <c r="AE57" s="8" t="s">
        <v>267</v>
      </c>
    </row>
    <row r="58" spans="1:31" ht="45">
      <c r="A58" s="6" t="str">
        <f t="shared" ref="A58:A121" si="1">+B58&amp;I58</f>
        <v>XA009225401ANHUI CHARDON ELECTRIC LIMITED</v>
      </c>
      <c r="B58" s="7" t="s">
        <v>274</v>
      </c>
      <c r="C58" s="6" t="s">
        <v>275</v>
      </c>
      <c r="D58" s="6">
        <v>8550000000</v>
      </c>
      <c r="E58" s="6" t="s">
        <v>32</v>
      </c>
      <c r="F58" s="8">
        <v>2538</v>
      </c>
      <c r="G58" s="9">
        <v>47877</v>
      </c>
      <c r="H58" s="8" t="s">
        <v>141</v>
      </c>
      <c r="I58" s="8" t="s">
        <v>240</v>
      </c>
      <c r="J58" s="36">
        <v>21.96</v>
      </c>
      <c r="K58" s="10" t="s">
        <v>36</v>
      </c>
      <c r="L58" s="11" t="s">
        <v>222</v>
      </c>
      <c r="M58" s="11" t="s">
        <v>38</v>
      </c>
      <c r="N58" s="12">
        <v>2638212</v>
      </c>
      <c r="O58" s="13" t="s">
        <v>241</v>
      </c>
      <c r="P58" s="14" t="s">
        <v>242</v>
      </c>
      <c r="Q58" s="172">
        <v>46163</v>
      </c>
      <c r="R58" s="15">
        <v>46347</v>
      </c>
      <c r="S58" s="176">
        <v>46128</v>
      </c>
      <c r="T58" s="16">
        <v>46159</v>
      </c>
      <c r="U58" s="16">
        <v>46161</v>
      </c>
      <c r="V58" s="19" t="s">
        <v>41</v>
      </c>
      <c r="W58" s="19" t="s">
        <v>32</v>
      </c>
      <c r="X58" s="18" t="s">
        <v>41</v>
      </c>
      <c r="Y58" s="14" t="s">
        <v>32</v>
      </c>
      <c r="Z58" s="6" t="s">
        <v>243</v>
      </c>
      <c r="AA58" s="8" t="s">
        <v>43</v>
      </c>
      <c r="AB58" s="11">
        <f>+VLOOKUP(A58,'[1]VALID RIM NUEVAM'!A$1:N$65536,14,0)</f>
        <v>2688402</v>
      </c>
      <c r="AC58" s="8" t="s">
        <v>43</v>
      </c>
      <c r="AD58" s="8"/>
      <c r="AE58" s="8"/>
    </row>
    <row r="59" spans="1:31" ht="45">
      <c r="A59" s="6" t="str">
        <f t="shared" si="1"/>
        <v>XA009225377ANHUI CHARDON ELECTRIC LIMITED</v>
      </c>
      <c r="B59" s="7" t="s">
        <v>276</v>
      </c>
      <c r="C59" s="6" t="s">
        <v>277</v>
      </c>
      <c r="D59" s="6">
        <v>8550000000</v>
      </c>
      <c r="E59" s="6" t="s">
        <v>32</v>
      </c>
      <c r="F59" s="8">
        <v>2538</v>
      </c>
      <c r="G59" s="9">
        <v>47877</v>
      </c>
      <c r="H59" s="8" t="s">
        <v>141</v>
      </c>
      <c r="I59" s="8" t="s">
        <v>240</v>
      </c>
      <c r="J59" s="36">
        <v>21.96</v>
      </c>
      <c r="K59" s="10" t="s">
        <v>36</v>
      </c>
      <c r="L59" s="11" t="s">
        <v>222</v>
      </c>
      <c r="M59" s="11" t="s">
        <v>38</v>
      </c>
      <c r="N59" s="12">
        <v>2638212</v>
      </c>
      <c r="O59" s="13" t="s">
        <v>241</v>
      </c>
      <c r="P59" s="14" t="s">
        <v>242</v>
      </c>
      <c r="Q59" s="172">
        <v>46163</v>
      </c>
      <c r="R59" s="15">
        <v>46347</v>
      </c>
      <c r="S59" s="176">
        <v>46128</v>
      </c>
      <c r="T59" s="16">
        <v>46159</v>
      </c>
      <c r="U59" s="16">
        <v>46161</v>
      </c>
      <c r="V59" s="19" t="s">
        <v>41</v>
      </c>
      <c r="W59" s="19" t="s">
        <v>32</v>
      </c>
      <c r="X59" s="18" t="s">
        <v>41</v>
      </c>
      <c r="Y59" s="14" t="s">
        <v>32</v>
      </c>
      <c r="Z59" s="6" t="s">
        <v>243</v>
      </c>
      <c r="AA59" s="8" t="s">
        <v>43</v>
      </c>
      <c r="AB59" s="11">
        <f>+VLOOKUP(A59,'[1]VALID RIM NUEVAM'!A$1:N$65536,14,0)</f>
        <v>2688402</v>
      </c>
      <c r="AC59" s="8" t="s">
        <v>43</v>
      </c>
      <c r="AD59" s="8"/>
      <c r="AE59" s="8"/>
    </row>
    <row r="60" spans="1:31" ht="45">
      <c r="A60" s="6" t="str">
        <f t="shared" si="1"/>
        <v>XA009228512ANHUI CHARDON ELECTRIC LIMITED</v>
      </c>
      <c r="B60" s="7" t="s">
        <v>278</v>
      </c>
      <c r="C60" s="6" t="s">
        <v>279</v>
      </c>
      <c r="D60" s="6">
        <v>8550000000</v>
      </c>
      <c r="E60" s="6" t="s">
        <v>32</v>
      </c>
      <c r="F60" s="8">
        <v>2538</v>
      </c>
      <c r="G60" s="9">
        <v>47877</v>
      </c>
      <c r="H60" s="8" t="s">
        <v>141</v>
      </c>
      <c r="I60" s="8" t="s">
        <v>240</v>
      </c>
      <c r="J60" s="10">
        <v>8.11</v>
      </c>
      <c r="K60" s="10" t="s">
        <v>36</v>
      </c>
      <c r="L60" s="11" t="s">
        <v>222</v>
      </c>
      <c r="M60" s="11" t="s">
        <v>38</v>
      </c>
      <c r="N60" s="12">
        <v>2638212</v>
      </c>
      <c r="O60" s="13" t="s">
        <v>241</v>
      </c>
      <c r="P60" s="14" t="s">
        <v>242</v>
      </c>
      <c r="Q60" s="172">
        <v>46163</v>
      </c>
      <c r="R60" s="15">
        <v>46347</v>
      </c>
      <c r="S60" s="176">
        <v>46128</v>
      </c>
      <c r="T60" s="16">
        <v>46159</v>
      </c>
      <c r="U60" s="16">
        <v>46161</v>
      </c>
      <c r="V60" s="19" t="s">
        <v>41</v>
      </c>
      <c r="W60" s="19" t="s">
        <v>32</v>
      </c>
      <c r="X60" s="18" t="s">
        <v>41</v>
      </c>
      <c r="Y60" s="14" t="s">
        <v>32</v>
      </c>
      <c r="Z60" s="6" t="s">
        <v>243</v>
      </c>
      <c r="AA60" s="8" t="s">
        <v>43</v>
      </c>
      <c r="AB60" s="11">
        <f>+VLOOKUP(A60,'[1]VALID RIM NUEVAM'!A$1:N$65536,14,0)</f>
        <v>2688402</v>
      </c>
      <c r="AC60" s="8" t="s">
        <v>43</v>
      </c>
      <c r="AD60" s="8"/>
      <c r="AE60" s="8"/>
    </row>
    <row r="61" spans="1:31" ht="45">
      <c r="A61" s="6" t="str">
        <f t="shared" si="1"/>
        <v>XA009228504ANHUI CHARDON ELECTRIC LIMITED</v>
      </c>
      <c r="B61" s="7" t="s">
        <v>280</v>
      </c>
      <c r="C61" s="6" t="s">
        <v>281</v>
      </c>
      <c r="D61" s="6">
        <v>8550000000</v>
      </c>
      <c r="E61" s="6" t="s">
        <v>32</v>
      </c>
      <c r="F61" s="8">
        <v>2538</v>
      </c>
      <c r="G61" s="9">
        <v>47877</v>
      </c>
      <c r="H61" s="8" t="s">
        <v>141</v>
      </c>
      <c r="I61" s="8" t="s">
        <v>240</v>
      </c>
      <c r="J61" s="10">
        <v>8.5299999999999994</v>
      </c>
      <c r="K61" s="10" t="s">
        <v>36</v>
      </c>
      <c r="L61" s="11" t="s">
        <v>222</v>
      </c>
      <c r="M61" s="11" t="s">
        <v>38</v>
      </c>
      <c r="N61" s="12">
        <v>2638212</v>
      </c>
      <c r="O61" s="13" t="s">
        <v>241</v>
      </c>
      <c r="P61" s="14" t="s">
        <v>242</v>
      </c>
      <c r="Q61" s="172">
        <v>46163</v>
      </c>
      <c r="R61" s="15">
        <v>46347</v>
      </c>
      <c r="S61" s="176">
        <v>46128</v>
      </c>
      <c r="T61" s="16">
        <v>46159</v>
      </c>
      <c r="U61" s="16">
        <v>46161</v>
      </c>
      <c r="V61" s="19" t="s">
        <v>41</v>
      </c>
      <c r="W61" s="19" t="s">
        <v>32</v>
      </c>
      <c r="X61" s="18" t="s">
        <v>41</v>
      </c>
      <c r="Y61" s="14" t="s">
        <v>32</v>
      </c>
      <c r="Z61" s="6" t="s">
        <v>243</v>
      </c>
      <c r="AA61" s="8" t="s">
        <v>43</v>
      </c>
      <c r="AB61" s="11">
        <f>+VLOOKUP(A61,'[1]VALID RIM NUEVAM'!A$1:N$65536,14,0)</f>
        <v>2688402</v>
      </c>
      <c r="AC61" s="8" t="s">
        <v>43</v>
      </c>
      <c r="AD61" s="8"/>
      <c r="AE61" s="8"/>
    </row>
    <row r="62" spans="1:31" ht="45">
      <c r="A62" s="6" t="str">
        <f t="shared" si="1"/>
        <v>XA009228496ANHUI CHARDON ELECTRIC LIMITED</v>
      </c>
      <c r="B62" s="7" t="s">
        <v>282</v>
      </c>
      <c r="C62" s="6" t="s">
        <v>283</v>
      </c>
      <c r="D62" s="6">
        <v>8550000000</v>
      </c>
      <c r="E62" s="6" t="s">
        <v>32</v>
      </c>
      <c r="F62" s="8">
        <v>2538</v>
      </c>
      <c r="G62" s="9">
        <v>47877</v>
      </c>
      <c r="H62" s="8" t="s">
        <v>141</v>
      </c>
      <c r="I62" s="8" t="s">
        <v>240</v>
      </c>
      <c r="J62" s="10">
        <v>8.5299999999999994</v>
      </c>
      <c r="K62" s="10" t="s">
        <v>36</v>
      </c>
      <c r="L62" s="11" t="s">
        <v>222</v>
      </c>
      <c r="M62" s="11" t="s">
        <v>38</v>
      </c>
      <c r="N62" s="12">
        <v>2638212</v>
      </c>
      <c r="O62" s="13" t="s">
        <v>241</v>
      </c>
      <c r="P62" s="14" t="s">
        <v>242</v>
      </c>
      <c r="Q62" s="172">
        <v>46163</v>
      </c>
      <c r="R62" s="15">
        <v>46347</v>
      </c>
      <c r="S62" s="176">
        <v>46128</v>
      </c>
      <c r="T62" s="16">
        <v>46159</v>
      </c>
      <c r="U62" s="16">
        <v>46161</v>
      </c>
      <c r="V62" s="19" t="s">
        <v>41</v>
      </c>
      <c r="W62" s="19" t="s">
        <v>32</v>
      </c>
      <c r="X62" s="18" t="s">
        <v>41</v>
      </c>
      <c r="Y62" s="14" t="s">
        <v>32</v>
      </c>
      <c r="Z62" s="6" t="s">
        <v>243</v>
      </c>
      <c r="AA62" s="8" t="s">
        <v>43</v>
      </c>
      <c r="AB62" s="11">
        <f>+VLOOKUP(A62,'[1]VALID RIM NUEVAM'!A$1:N$65536,14,0)</f>
        <v>2688402</v>
      </c>
      <c r="AC62" s="8" t="s">
        <v>43</v>
      </c>
      <c r="AD62" s="8"/>
      <c r="AE62" s="8"/>
    </row>
    <row r="63" spans="1:31" ht="45">
      <c r="A63" s="6" t="str">
        <f t="shared" si="1"/>
        <v>XA009228488ANHUI CHARDON ELECTRIC LIMITED</v>
      </c>
      <c r="B63" s="7" t="s">
        <v>284</v>
      </c>
      <c r="C63" s="6" t="s">
        <v>285</v>
      </c>
      <c r="D63" s="6">
        <v>8550000000</v>
      </c>
      <c r="E63" s="6" t="s">
        <v>32</v>
      </c>
      <c r="F63" s="8">
        <v>2538</v>
      </c>
      <c r="G63" s="9">
        <v>47877</v>
      </c>
      <c r="H63" s="8" t="s">
        <v>141</v>
      </c>
      <c r="I63" s="8" t="s">
        <v>240</v>
      </c>
      <c r="J63" s="10">
        <v>8.5299999999999994</v>
      </c>
      <c r="K63" s="10" t="s">
        <v>36</v>
      </c>
      <c r="L63" s="11" t="s">
        <v>222</v>
      </c>
      <c r="M63" s="11" t="s">
        <v>38</v>
      </c>
      <c r="N63" s="12">
        <v>2638212</v>
      </c>
      <c r="O63" s="13" t="s">
        <v>241</v>
      </c>
      <c r="P63" s="14" t="s">
        <v>242</v>
      </c>
      <c r="Q63" s="172">
        <v>46163</v>
      </c>
      <c r="R63" s="15">
        <v>46347</v>
      </c>
      <c r="S63" s="176">
        <v>46128</v>
      </c>
      <c r="T63" s="16">
        <v>46159</v>
      </c>
      <c r="U63" s="16">
        <v>46161</v>
      </c>
      <c r="V63" s="19" t="s">
        <v>41</v>
      </c>
      <c r="W63" s="19" t="s">
        <v>32</v>
      </c>
      <c r="X63" s="18" t="s">
        <v>41</v>
      </c>
      <c r="Y63" s="14" t="s">
        <v>32</v>
      </c>
      <c r="Z63" s="6" t="s">
        <v>243</v>
      </c>
      <c r="AA63" s="8" t="s">
        <v>43</v>
      </c>
      <c r="AB63" s="11">
        <f>+VLOOKUP(A63,'[1]VALID RIM NUEVAM'!A$1:N$65536,14,0)</f>
        <v>2688402</v>
      </c>
      <c r="AC63" s="8" t="s">
        <v>43</v>
      </c>
      <c r="AD63" s="8"/>
      <c r="AE63" s="8"/>
    </row>
    <row r="64" spans="1:31" ht="45">
      <c r="A64" s="6" t="str">
        <f t="shared" si="1"/>
        <v>XA009228710ANHUI CHARDON ELECTRIC LIMITED</v>
      </c>
      <c r="B64" s="7" t="s">
        <v>286</v>
      </c>
      <c r="C64" s="6" t="s">
        <v>287</v>
      </c>
      <c r="D64" s="6">
        <v>8550000000</v>
      </c>
      <c r="E64" s="6" t="s">
        <v>32</v>
      </c>
      <c r="F64" s="8">
        <v>2538</v>
      </c>
      <c r="G64" s="9">
        <v>47877</v>
      </c>
      <c r="H64" s="8" t="s">
        <v>141</v>
      </c>
      <c r="I64" s="8" t="s">
        <v>240</v>
      </c>
      <c r="J64" s="10">
        <v>29.96</v>
      </c>
      <c r="K64" s="10" t="s">
        <v>36</v>
      </c>
      <c r="L64" s="11" t="s">
        <v>222</v>
      </c>
      <c r="M64" s="11" t="s">
        <v>38</v>
      </c>
      <c r="N64" s="12">
        <v>2638212</v>
      </c>
      <c r="O64" s="13" t="s">
        <v>241</v>
      </c>
      <c r="P64" s="14" t="s">
        <v>242</v>
      </c>
      <c r="Q64" s="172">
        <v>46163</v>
      </c>
      <c r="R64" s="15">
        <v>46347</v>
      </c>
      <c r="S64" s="176">
        <v>46128</v>
      </c>
      <c r="T64" s="16">
        <v>46159</v>
      </c>
      <c r="U64" s="16">
        <v>46161</v>
      </c>
      <c r="V64" s="19" t="s">
        <v>41</v>
      </c>
      <c r="W64" s="19" t="s">
        <v>32</v>
      </c>
      <c r="X64" s="18" t="s">
        <v>41</v>
      </c>
      <c r="Y64" s="14" t="s">
        <v>32</v>
      </c>
      <c r="Z64" s="6" t="s">
        <v>243</v>
      </c>
      <c r="AA64" s="8" t="s">
        <v>43</v>
      </c>
      <c r="AB64" s="11">
        <f>+VLOOKUP(A64,'[1]VALID RIM NUEVAM'!A$1:N$65536,14,0)</f>
        <v>2688402</v>
      </c>
      <c r="AC64" s="8" t="s">
        <v>43</v>
      </c>
      <c r="AD64" s="8"/>
      <c r="AE64" s="8"/>
    </row>
    <row r="65" spans="1:31" ht="45">
      <c r="A65" s="6" t="str">
        <f t="shared" si="1"/>
        <v>XA009228397ANHUI CHARDON ELECTRIC LIMITED</v>
      </c>
      <c r="B65" s="7" t="s">
        <v>288</v>
      </c>
      <c r="C65" s="6" t="s">
        <v>289</v>
      </c>
      <c r="D65" s="6">
        <v>8550000000</v>
      </c>
      <c r="E65" s="6" t="s">
        <v>32</v>
      </c>
      <c r="F65" s="8">
        <v>2538</v>
      </c>
      <c r="G65" s="9">
        <v>47877</v>
      </c>
      <c r="H65" s="8" t="s">
        <v>141</v>
      </c>
      <c r="I65" s="8" t="s">
        <v>240</v>
      </c>
      <c r="J65" s="10">
        <v>29.96</v>
      </c>
      <c r="K65" s="10" t="s">
        <v>36</v>
      </c>
      <c r="L65" s="11" t="s">
        <v>222</v>
      </c>
      <c r="M65" s="11" t="s">
        <v>38</v>
      </c>
      <c r="N65" s="12">
        <v>2638212</v>
      </c>
      <c r="O65" s="13" t="s">
        <v>241</v>
      </c>
      <c r="P65" s="14" t="s">
        <v>242</v>
      </c>
      <c r="Q65" s="172">
        <v>46163</v>
      </c>
      <c r="R65" s="15">
        <v>46347</v>
      </c>
      <c r="S65" s="176">
        <v>46128</v>
      </c>
      <c r="T65" s="16">
        <v>46159</v>
      </c>
      <c r="U65" s="16">
        <v>46161</v>
      </c>
      <c r="V65" s="19" t="s">
        <v>41</v>
      </c>
      <c r="W65" s="19" t="s">
        <v>32</v>
      </c>
      <c r="X65" s="18" t="s">
        <v>41</v>
      </c>
      <c r="Y65" s="14" t="s">
        <v>32</v>
      </c>
      <c r="Z65" s="6" t="s">
        <v>243</v>
      </c>
      <c r="AA65" s="8" t="s">
        <v>43</v>
      </c>
      <c r="AB65" s="11">
        <f>+VLOOKUP(A65,'[1]VALID RIM NUEVAM'!A$1:N$65536,14,0)</f>
        <v>2688402</v>
      </c>
      <c r="AC65" s="8" t="s">
        <v>43</v>
      </c>
      <c r="AD65" s="8"/>
      <c r="AE65" s="8"/>
    </row>
    <row r="66" spans="1:31" ht="45">
      <c r="A66" s="6" t="str">
        <f t="shared" si="1"/>
        <v>XA009227779ANHUI CHARDON ELECTRIC LIMITED</v>
      </c>
      <c r="B66" s="7" t="s">
        <v>290</v>
      </c>
      <c r="C66" s="6" t="s">
        <v>291</v>
      </c>
      <c r="D66" s="6">
        <v>8550000000</v>
      </c>
      <c r="E66" s="6" t="s">
        <v>32</v>
      </c>
      <c r="F66" s="8">
        <v>2538</v>
      </c>
      <c r="G66" s="9">
        <v>47877</v>
      </c>
      <c r="H66" s="8" t="s">
        <v>141</v>
      </c>
      <c r="I66" s="8" t="s">
        <v>240</v>
      </c>
      <c r="J66" s="10">
        <v>29.96</v>
      </c>
      <c r="K66" s="10" t="s">
        <v>36</v>
      </c>
      <c r="L66" s="11" t="s">
        <v>222</v>
      </c>
      <c r="M66" s="11" t="s">
        <v>38</v>
      </c>
      <c r="N66" s="12">
        <v>2638212</v>
      </c>
      <c r="O66" s="13" t="s">
        <v>241</v>
      </c>
      <c r="P66" s="14" t="s">
        <v>242</v>
      </c>
      <c r="Q66" s="172">
        <v>46163</v>
      </c>
      <c r="R66" s="15">
        <v>46347</v>
      </c>
      <c r="S66" s="176">
        <v>46128</v>
      </c>
      <c r="T66" s="16">
        <v>46159</v>
      </c>
      <c r="U66" s="16">
        <v>46161</v>
      </c>
      <c r="V66" s="19" t="s">
        <v>41</v>
      </c>
      <c r="W66" s="19" t="s">
        <v>32</v>
      </c>
      <c r="X66" s="18" t="s">
        <v>41</v>
      </c>
      <c r="Y66" s="14" t="s">
        <v>32</v>
      </c>
      <c r="Z66" s="6" t="s">
        <v>243</v>
      </c>
      <c r="AA66" s="8" t="s">
        <v>43</v>
      </c>
      <c r="AB66" s="11">
        <f>+VLOOKUP(A66,'[1]VALID RIM NUEVAM'!A$1:N$65536,14,0)</f>
        <v>2688402</v>
      </c>
      <c r="AC66" s="8" t="s">
        <v>43</v>
      </c>
      <c r="AD66" s="8"/>
      <c r="AE66" s="8"/>
    </row>
    <row r="67" spans="1:31" ht="45">
      <c r="A67" s="6" t="str">
        <f t="shared" si="1"/>
        <v>XA009228694ANHUI CHARDON ELECTRIC LIMITED</v>
      </c>
      <c r="B67" s="7" t="s">
        <v>292</v>
      </c>
      <c r="C67" s="6" t="s">
        <v>293</v>
      </c>
      <c r="D67" s="6">
        <v>8550000000</v>
      </c>
      <c r="E67" s="6" t="s">
        <v>32</v>
      </c>
      <c r="F67" s="8">
        <v>2538</v>
      </c>
      <c r="G67" s="9">
        <v>47877</v>
      </c>
      <c r="H67" s="8" t="s">
        <v>141</v>
      </c>
      <c r="I67" s="8" t="s">
        <v>240</v>
      </c>
      <c r="J67" s="10">
        <v>31.55</v>
      </c>
      <c r="K67" s="10" t="s">
        <v>36</v>
      </c>
      <c r="L67" s="11" t="s">
        <v>222</v>
      </c>
      <c r="M67" s="11" t="s">
        <v>38</v>
      </c>
      <c r="N67" s="12">
        <v>2638212</v>
      </c>
      <c r="O67" s="13" t="s">
        <v>241</v>
      </c>
      <c r="P67" s="14" t="s">
        <v>242</v>
      </c>
      <c r="Q67" s="172">
        <v>46163</v>
      </c>
      <c r="R67" s="15">
        <v>46347</v>
      </c>
      <c r="S67" s="176">
        <v>46128</v>
      </c>
      <c r="T67" s="16">
        <v>46159</v>
      </c>
      <c r="U67" s="16">
        <v>46161</v>
      </c>
      <c r="V67" s="19" t="s">
        <v>41</v>
      </c>
      <c r="W67" s="19" t="s">
        <v>32</v>
      </c>
      <c r="X67" s="18" t="s">
        <v>41</v>
      </c>
      <c r="Y67" s="14" t="s">
        <v>32</v>
      </c>
      <c r="Z67" s="6" t="s">
        <v>243</v>
      </c>
      <c r="AA67" s="8" t="s">
        <v>43</v>
      </c>
      <c r="AB67" s="11">
        <f>+VLOOKUP(A67,'[1]VALID RIM NUEVAM'!A$1:N$65536,14,0)</f>
        <v>2688402</v>
      </c>
      <c r="AC67" s="8" t="s">
        <v>43</v>
      </c>
      <c r="AD67" s="8"/>
      <c r="AE67" s="8"/>
    </row>
    <row r="68" spans="1:31" ht="45">
      <c r="A68" s="6" t="str">
        <f t="shared" si="1"/>
        <v>XA009228686ANHUI CHARDON ELECTRIC LIMITED</v>
      </c>
      <c r="B68" s="7" t="s">
        <v>294</v>
      </c>
      <c r="C68" s="6" t="s">
        <v>295</v>
      </c>
      <c r="D68" s="6">
        <v>8550000000</v>
      </c>
      <c r="E68" s="6" t="s">
        <v>32</v>
      </c>
      <c r="F68" s="8">
        <v>2538</v>
      </c>
      <c r="G68" s="9">
        <v>47877</v>
      </c>
      <c r="H68" s="8" t="s">
        <v>141</v>
      </c>
      <c r="I68" s="8" t="s">
        <v>240</v>
      </c>
      <c r="J68" s="10">
        <v>31.55</v>
      </c>
      <c r="K68" s="10" t="s">
        <v>36</v>
      </c>
      <c r="L68" s="11" t="s">
        <v>222</v>
      </c>
      <c r="M68" s="11" t="s">
        <v>38</v>
      </c>
      <c r="N68" s="12">
        <v>2638212</v>
      </c>
      <c r="O68" s="13" t="s">
        <v>241</v>
      </c>
      <c r="P68" s="14" t="s">
        <v>242</v>
      </c>
      <c r="Q68" s="172">
        <v>46163</v>
      </c>
      <c r="R68" s="15">
        <v>46347</v>
      </c>
      <c r="S68" s="176">
        <v>46128</v>
      </c>
      <c r="T68" s="16">
        <v>46159</v>
      </c>
      <c r="U68" s="16">
        <v>46161</v>
      </c>
      <c r="V68" s="19" t="s">
        <v>41</v>
      </c>
      <c r="W68" s="19" t="s">
        <v>32</v>
      </c>
      <c r="X68" s="18" t="s">
        <v>41</v>
      </c>
      <c r="Y68" s="14" t="s">
        <v>32</v>
      </c>
      <c r="Z68" s="6" t="s">
        <v>243</v>
      </c>
      <c r="AA68" s="8" t="s">
        <v>43</v>
      </c>
      <c r="AB68" s="11">
        <f>+VLOOKUP(A68,'[1]VALID RIM NUEVAM'!A$1:N$65536,14,0)</f>
        <v>2688402</v>
      </c>
      <c r="AC68" s="8" t="s">
        <v>43</v>
      </c>
      <c r="AD68" s="8"/>
      <c r="AE68" s="8"/>
    </row>
    <row r="69" spans="1:31" ht="45">
      <c r="A69" s="6" t="str">
        <f t="shared" si="1"/>
        <v>XA009227761ANHUI CHARDON ELECTRIC LIMITED</v>
      </c>
      <c r="B69" s="7" t="s">
        <v>296</v>
      </c>
      <c r="C69" s="6" t="s">
        <v>297</v>
      </c>
      <c r="D69" s="6">
        <v>8550000000</v>
      </c>
      <c r="E69" s="6" t="s">
        <v>32</v>
      </c>
      <c r="F69" s="8">
        <v>2538</v>
      </c>
      <c r="G69" s="9">
        <v>47877</v>
      </c>
      <c r="H69" s="8" t="s">
        <v>141</v>
      </c>
      <c r="I69" s="8" t="s">
        <v>240</v>
      </c>
      <c r="J69" s="10">
        <v>31.55</v>
      </c>
      <c r="K69" s="10" t="s">
        <v>36</v>
      </c>
      <c r="L69" s="11" t="s">
        <v>222</v>
      </c>
      <c r="M69" s="11" t="s">
        <v>38</v>
      </c>
      <c r="N69" s="12">
        <v>2638212</v>
      </c>
      <c r="O69" s="13" t="s">
        <v>241</v>
      </c>
      <c r="P69" s="14" t="s">
        <v>242</v>
      </c>
      <c r="Q69" s="172">
        <v>46163</v>
      </c>
      <c r="R69" s="15">
        <v>46347</v>
      </c>
      <c r="S69" s="176">
        <v>46128</v>
      </c>
      <c r="T69" s="16">
        <v>46159</v>
      </c>
      <c r="U69" s="16">
        <v>46161</v>
      </c>
      <c r="V69" s="19" t="s">
        <v>41</v>
      </c>
      <c r="W69" s="19" t="s">
        <v>32</v>
      </c>
      <c r="X69" s="18" t="s">
        <v>41</v>
      </c>
      <c r="Y69" s="14" t="s">
        <v>32</v>
      </c>
      <c r="Z69" s="6" t="s">
        <v>243</v>
      </c>
      <c r="AA69" s="8" t="s">
        <v>43</v>
      </c>
      <c r="AB69" s="11">
        <f>+VLOOKUP(A69,'[1]VALID RIM NUEVAM'!A$1:N$65536,14,0)</f>
        <v>2688402</v>
      </c>
      <c r="AC69" s="8" t="s">
        <v>43</v>
      </c>
      <c r="AD69" s="8"/>
      <c r="AE69" s="8"/>
    </row>
    <row r="70" spans="1:31" ht="45">
      <c r="A70" s="6" t="str">
        <f t="shared" si="1"/>
        <v>XA009228678ANHUI CHARDON ELECTRIC LIMITED</v>
      </c>
      <c r="B70" s="7" t="s">
        <v>298</v>
      </c>
      <c r="C70" s="6" t="s">
        <v>299</v>
      </c>
      <c r="D70" s="6">
        <v>8550000000</v>
      </c>
      <c r="E70" s="6" t="s">
        <v>32</v>
      </c>
      <c r="F70" s="8">
        <v>2538</v>
      </c>
      <c r="G70" s="9">
        <v>47877</v>
      </c>
      <c r="H70" s="8" t="s">
        <v>141</v>
      </c>
      <c r="I70" s="8" t="s">
        <v>240</v>
      </c>
      <c r="J70" s="10">
        <v>31.55</v>
      </c>
      <c r="K70" s="10" t="s">
        <v>36</v>
      </c>
      <c r="L70" s="11" t="s">
        <v>222</v>
      </c>
      <c r="M70" s="11" t="s">
        <v>38</v>
      </c>
      <c r="N70" s="12">
        <v>2638212</v>
      </c>
      <c r="O70" s="13" t="s">
        <v>241</v>
      </c>
      <c r="P70" s="14" t="s">
        <v>242</v>
      </c>
      <c r="Q70" s="172">
        <v>46163</v>
      </c>
      <c r="R70" s="15">
        <v>46347</v>
      </c>
      <c r="S70" s="176">
        <v>46128</v>
      </c>
      <c r="T70" s="16">
        <v>46159</v>
      </c>
      <c r="U70" s="16">
        <v>46161</v>
      </c>
      <c r="V70" s="19" t="s">
        <v>41</v>
      </c>
      <c r="W70" s="19" t="s">
        <v>32</v>
      </c>
      <c r="X70" s="18" t="s">
        <v>41</v>
      </c>
      <c r="Y70" s="14" t="s">
        <v>32</v>
      </c>
      <c r="Z70" s="6" t="s">
        <v>243</v>
      </c>
      <c r="AA70" s="8" t="s">
        <v>43</v>
      </c>
      <c r="AB70" s="11">
        <f>+VLOOKUP(A70,'[1]VALID RIM NUEVAM'!A$1:N$65536,14,0)</f>
        <v>2688402</v>
      </c>
      <c r="AC70" s="8" t="s">
        <v>43</v>
      </c>
      <c r="AD70" s="8"/>
      <c r="AE70" s="8"/>
    </row>
    <row r="71" spans="1:31" ht="45">
      <c r="A71" s="6" t="str">
        <f t="shared" si="1"/>
        <v>XA009228660ANHUI CHARDON ELECTRIC LIMITED</v>
      </c>
      <c r="B71" s="7" t="s">
        <v>300</v>
      </c>
      <c r="C71" s="6" t="s">
        <v>301</v>
      </c>
      <c r="D71" s="6">
        <v>8550000000</v>
      </c>
      <c r="E71" s="6" t="s">
        <v>32</v>
      </c>
      <c r="F71" s="8">
        <v>2538</v>
      </c>
      <c r="G71" s="9">
        <v>47877</v>
      </c>
      <c r="H71" s="8" t="s">
        <v>141</v>
      </c>
      <c r="I71" s="8" t="s">
        <v>240</v>
      </c>
      <c r="J71" s="10">
        <v>31.55</v>
      </c>
      <c r="K71" s="10" t="s">
        <v>36</v>
      </c>
      <c r="L71" s="11" t="s">
        <v>222</v>
      </c>
      <c r="M71" s="11" t="s">
        <v>38</v>
      </c>
      <c r="N71" s="12">
        <v>2638212</v>
      </c>
      <c r="O71" s="13" t="s">
        <v>241</v>
      </c>
      <c r="P71" s="14" t="s">
        <v>242</v>
      </c>
      <c r="Q71" s="172">
        <v>46163</v>
      </c>
      <c r="R71" s="15">
        <v>46347</v>
      </c>
      <c r="S71" s="176">
        <v>46128</v>
      </c>
      <c r="T71" s="16">
        <v>46159</v>
      </c>
      <c r="U71" s="16">
        <v>46161</v>
      </c>
      <c r="V71" s="19" t="s">
        <v>41</v>
      </c>
      <c r="W71" s="19" t="s">
        <v>32</v>
      </c>
      <c r="X71" s="18" t="s">
        <v>41</v>
      </c>
      <c r="Y71" s="14" t="s">
        <v>32</v>
      </c>
      <c r="Z71" s="6" t="s">
        <v>243</v>
      </c>
      <c r="AA71" s="8" t="s">
        <v>43</v>
      </c>
      <c r="AB71" s="11">
        <f>+VLOOKUP(A71,'[1]VALID RIM NUEVAM'!A$1:N$65536,14,0)</f>
        <v>2688402</v>
      </c>
      <c r="AC71" s="8" t="s">
        <v>43</v>
      </c>
      <c r="AD71" s="8"/>
      <c r="AE71" s="8"/>
    </row>
    <row r="72" spans="1:31" ht="45">
      <c r="A72" s="6" t="str">
        <f t="shared" si="1"/>
        <v>XA009229437ANHUI CHARDON ELECTRIC LIMITED</v>
      </c>
      <c r="B72" s="11" t="s">
        <v>302</v>
      </c>
      <c r="C72" s="65" t="s">
        <v>303</v>
      </c>
      <c r="D72" s="6">
        <v>8550000000</v>
      </c>
      <c r="E72" s="6" t="s">
        <v>32</v>
      </c>
      <c r="F72" s="8">
        <v>2538</v>
      </c>
      <c r="G72" s="9">
        <v>47877</v>
      </c>
      <c r="H72" s="8" t="s">
        <v>141</v>
      </c>
      <c r="I72" s="8" t="s">
        <v>240</v>
      </c>
      <c r="J72" s="66" t="s">
        <v>304</v>
      </c>
      <c r="K72" s="10" t="s">
        <v>36</v>
      </c>
      <c r="L72" s="11" t="s">
        <v>305</v>
      </c>
      <c r="M72" s="11" t="s">
        <v>38</v>
      </c>
      <c r="N72" s="67">
        <v>2638212</v>
      </c>
      <c r="O72" s="13" t="s">
        <v>241</v>
      </c>
      <c r="P72" s="14" t="s">
        <v>242</v>
      </c>
      <c r="Q72" s="172">
        <v>46163</v>
      </c>
      <c r="R72" s="15">
        <v>46347</v>
      </c>
      <c r="S72" s="176">
        <v>46128</v>
      </c>
      <c r="T72" s="16">
        <v>46159</v>
      </c>
      <c r="U72" s="16">
        <v>46161</v>
      </c>
      <c r="V72" s="19" t="s">
        <v>41</v>
      </c>
      <c r="W72" s="19" t="s">
        <v>32</v>
      </c>
      <c r="X72" s="18" t="s">
        <v>41</v>
      </c>
      <c r="Y72" s="14" t="s">
        <v>32</v>
      </c>
      <c r="Z72" s="6" t="s">
        <v>243</v>
      </c>
      <c r="AA72" s="8" t="s">
        <v>43</v>
      </c>
      <c r="AB72" s="11">
        <f>+VLOOKUP(A72,'[1]VALID RIM NUEVAM'!A$1:N$65536,14,0)</f>
        <v>2688402</v>
      </c>
      <c r="AC72" s="8" t="s">
        <v>43</v>
      </c>
      <c r="AD72" s="8"/>
      <c r="AE72" s="8"/>
    </row>
    <row r="73" spans="1:31" ht="45">
      <c r="A73" s="6" t="str">
        <f t="shared" si="1"/>
        <v>XA009225435ANHUI CHARDON ELECTRIC LIMITED</v>
      </c>
      <c r="B73" s="11" t="s">
        <v>306</v>
      </c>
      <c r="C73" s="65" t="s">
        <v>307</v>
      </c>
      <c r="D73" s="6">
        <v>8550000000</v>
      </c>
      <c r="E73" s="6" t="s">
        <v>32</v>
      </c>
      <c r="F73" s="8">
        <v>2538</v>
      </c>
      <c r="G73" s="9">
        <v>47877</v>
      </c>
      <c r="H73" s="8" t="s">
        <v>141</v>
      </c>
      <c r="I73" s="8" t="s">
        <v>240</v>
      </c>
      <c r="J73" s="66" t="s">
        <v>308</v>
      </c>
      <c r="K73" s="10" t="s">
        <v>36</v>
      </c>
      <c r="L73" s="11" t="s">
        <v>305</v>
      </c>
      <c r="M73" s="11" t="s">
        <v>38</v>
      </c>
      <c r="N73" s="12">
        <v>2638212</v>
      </c>
      <c r="O73" s="13" t="s">
        <v>241</v>
      </c>
      <c r="P73" s="14" t="s">
        <v>242</v>
      </c>
      <c r="Q73" s="172">
        <v>46163</v>
      </c>
      <c r="R73" s="15">
        <v>46347</v>
      </c>
      <c r="S73" s="176">
        <v>46128</v>
      </c>
      <c r="T73" s="16">
        <v>46159</v>
      </c>
      <c r="U73" s="16">
        <v>46161</v>
      </c>
      <c r="V73" s="19" t="s">
        <v>41</v>
      </c>
      <c r="W73" s="19" t="s">
        <v>32</v>
      </c>
      <c r="X73" s="18" t="s">
        <v>41</v>
      </c>
      <c r="Y73" s="14" t="s">
        <v>32</v>
      </c>
      <c r="Z73" s="6" t="s">
        <v>243</v>
      </c>
      <c r="AA73" s="8" t="s">
        <v>43</v>
      </c>
      <c r="AB73" s="11">
        <f>+VLOOKUP(A73,'[1]VALID RIM NUEVAM'!A$1:N$65536,14,0)</f>
        <v>2688402</v>
      </c>
      <c r="AC73" s="8" t="s">
        <v>43</v>
      </c>
      <c r="AD73" s="8"/>
      <c r="AE73" s="8"/>
    </row>
    <row r="74" spans="1:31" ht="45">
      <c r="A74" s="6" t="str">
        <f t="shared" si="1"/>
        <v>XA009225385ANHUI CHARDON ELECTRIC LIMITED</v>
      </c>
      <c r="B74" s="11" t="s">
        <v>309</v>
      </c>
      <c r="C74" s="65" t="s">
        <v>310</v>
      </c>
      <c r="D74" s="6">
        <v>8550000000</v>
      </c>
      <c r="E74" s="6" t="s">
        <v>32</v>
      </c>
      <c r="F74" s="8">
        <v>2538</v>
      </c>
      <c r="G74" s="9">
        <v>47877</v>
      </c>
      <c r="H74" s="8" t="s">
        <v>141</v>
      </c>
      <c r="I74" s="8" t="s">
        <v>240</v>
      </c>
      <c r="J74" s="66" t="s">
        <v>311</v>
      </c>
      <c r="K74" s="10" t="s">
        <v>36</v>
      </c>
      <c r="L74" s="11" t="s">
        <v>305</v>
      </c>
      <c r="M74" s="11" t="s">
        <v>38</v>
      </c>
      <c r="N74" s="12">
        <v>2638212</v>
      </c>
      <c r="O74" s="13" t="s">
        <v>241</v>
      </c>
      <c r="P74" s="14" t="s">
        <v>242</v>
      </c>
      <c r="Q74" s="172">
        <v>46163</v>
      </c>
      <c r="R74" s="15">
        <v>46347</v>
      </c>
      <c r="S74" s="176">
        <v>46128</v>
      </c>
      <c r="T74" s="16">
        <v>46159</v>
      </c>
      <c r="U74" s="16">
        <v>46161</v>
      </c>
      <c r="V74" s="19" t="s">
        <v>41</v>
      </c>
      <c r="W74" s="19" t="s">
        <v>32</v>
      </c>
      <c r="X74" s="18" t="s">
        <v>41</v>
      </c>
      <c r="Y74" s="14" t="s">
        <v>32</v>
      </c>
      <c r="Z74" s="6" t="s">
        <v>243</v>
      </c>
      <c r="AA74" s="8" t="s">
        <v>43</v>
      </c>
      <c r="AB74" s="11">
        <f>+VLOOKUP(A74,'[1]VALID RIM NUEVAM'!A$1:N$65536,14,0)</f>
        <v>2688402</v>
      </c>
      <c r="AC74" s="8" t="s">
        <v>43</v>
      </c>
      <c r="AD74" s="8"/>
      <c r="AE74" s="8"/>
    </row>
    <row r="75" spans="1:31" ht="45">
      <c r="A75" s="6" t="str">
        <f t="shared" si="1"/>
        <v>XA009225351ANHUI CHARDON ELECTRIC LIMITED</v>
      </c>
      <c r="B75" s="11" t="s">
        <v>312</v>
      </c>
      <c r="C75" s="65" t="s">
        <v>313</v>
      </c>
      <c r="D75" s="6">
        <v>8550000000</v>
      </c>
      <c r="E75" s="6" t="s">
        <v>32</v>
      </c>
      <c r="F75" s="8">
        <v>2538</v>
      </c>
      <c r="G75" s="9">
        <v>47877</v>
      </c>
      <c r="H75" s="8" t="s">
        <v>141</v>
      </c>
      <c r="I75" s="8" t="s">
        <v>240</v>
      </c>
      <c r="J75" s="66" t="s">
        <v>314</v>
      </c>
      <c r="K75" s="10" t="s">
        <v>36</v>
      </c>
      <c r="L75" s="11" t="s">
        <v>305</v>
      </c>
      <c r="M75" s="11" t="s">
        <v>38</v>
      </c>
      <c r="N75" s="12">
        <v>2638212</v>
      </c>
      <c r="O75" s="13" t="s">
        <v>241</v>
      </c>
      <c r="P75" s="14" t="s">
        <v>242</v>
      </c>
      <c r="Q75" s="172">
        <v>46163</v>
      </c>
      <c r="R75" s="15">
        <v>46347</v>
      </c>
      <c r="S75" s="176">
        <v>46128</v>
      </c>
      <c r="T75" s="16">
        <v>46159</v>
      </c>
      <c r="U75" s="16">
        <v>46161</v>
      </c>
      <c r="V75" s="19" t="s">
        <v>41</v>
      </c>
      <c r="W75" s="19" t="s">
        <v>32</v>
      </c>
      <c r="X75" s="18" t="s">
        <v>41</v>
      </c>
      <c r="Y75" s="14" t="s">
        <v>32</v>
      </c>
      <c r="Z75" s="6" t="s">
        <v>243</v>
      </c>
      <c r="AA75" s="8" t="s">
        <v>43</v>
      </c>
      <c r="AB75" s="11">
        <f>+VLOOKUP(A75,'[1]VALID RIM NUEVAM'!A$1:N$65536,14,0)</f>
        <v>2688402</v>
      </c>
      <c r="AC75" s="8" t="s">
        <v>43</v>
      </c>
      <c r="AD75" s="8"/>
      <c r="AE75" s="8"/>
    </row>
    <row r="76" spans="1:31" ht="45">
      <c r="A76" s="6" t="str">
        <f t="shared" si="1"/>
        <v>XA009225344ANHUI CHARDON ELECTRIC LIMITED</v>
      </c>
      <c r="B76" s="11" t="s">
        <v>315</v>
      </c>
      <c r="C76" s="65" t="s">
        <v>316</v>
      </c>
      <c r="D76" s="6">
        <v>8550000000</v>
      </c>
      <c r="E76" s="6" t="s">
        <v>32</v>
      </c>
      <c r="F76" s="8">
        <v>2538</v>
      </c>
      <c r="G76" s="9">
        <v>47877</v>
      </c>
      <c r="H76" s="8" t="s">
        <v>141</v>
      </c>
      <c r="I76" s="8" t="s">
        <v>240</v>
      </c>
      <c r="J76" s="66" t="s">
        <v>317</v>
      </c>
      <c r="K76" s="10" t="s">
        <v>36</v>
      </c>
      <c r="L76" s="11" t="s">
        <v>305</v>
      </c>
      <c r="M76" s="11" t="s">
        <v>38</v>
      </c>
      <c r="N76" s="12">
        <v>2638212</v>
      </c>
      <c r="O76" s="13" t="s">
        <v>241</v>
      </c>
      <c r="P76" s="14" t="s">
        <v>242</v>
      </c>
      <c r="Q76" s="172">
        <v>46163</v>
      </c>
      <c r="R76" s="15">
        <v>46347</v>
      </c>
      <c r="S76" s="176">
        <v>46128</v>
      </c>
      <c r="T76" s="16">
        <v>46159</v>
      </c>
      <c r="U76" s="16">
        <v>46161</v>
      </c>
      <c r="V76" s="19" t="s">
        <v>41</v>
      </c>
      <c r="W76" s="19" t="s">
        <v>32</v>
      </c>
      <c r="X76" s="18" t="s">
        <v>41</v>
      </c>
      <c r="Y76" s="14" t="s">
        <v>32</v>
      </c>
      <c r="Z76" s="6" t="s">
        <v>243</v>
      </c>
      <c r="AA76" s="8" t="s">
        <v>43</v>
      </c>
      <c r="AB76" s="11">
        <f>+VLOOKUP(A76,'[1]VALID RIM NUEVAM'!A$1:N$65536,14,0)</f>
        <v>2688402</v>
      </c>
      <c r="AC76" s="8" t="s">
        <v>43</v>
      </c>
      <c r="AD76" s="8"/>
      <c r="AE76" s="8"/>
    </row>
    <row r="77" spans="1:31" ht="45">
      <c r="A77" s="6" t="str">
        <f t="shared" si="1"/>
        <v>XA009225336ANHUI CHARDON ELECTRIC LIMITED</v>
      </c>
      <c r="B77" s="11" t="s">
        <v>318</v>
      </c>
      <c r="C77" s="65" t="s">
        <v>319</v>
      </c>
      <c r="D77" s="6">
        <v>8550000000</v>
      </c>
      <c r="E77" s="6" t="s">
        <v>32</v>
      </c>
      <c r="F77" s="8">
        <v>2538</v>
      </c>
      <c r="G77" s="9">
        <v>47877</v>
      </c>
      <c r="H77" s="8" t="s">
        <v>141</v>
      </c>
      <c r="I77" s="8" t="s">
        <v>240</v>
      </c>
      <c r="J77" s="66" t="s">
        <v>317</v>
      </c>
      <c r="K77" s="10" t="s">
        <v>36</v>
      </c>
      <c r="L77" s="11" t="s">
        <v>305</v>
      </c>
      <c r="M77" s="11" t="s">
        <v>38</v>
      </c>
      <c r="N77" s="12">
        <v>2638212</v>
      </c>
      <c r="O77" s="13" t="s">
        <v>241</v>
      </c>
      <c r="P77" s="14" t="s">
        <v>242</v>
      </c>
      <c r="Q77" s="172">
        <v>46163</v>
      </c>
      <c r="R77" s="15">
        <v>46347</v>
      </c>
      <c r="S77" s="176">
        <v>46128</v>
      </c>
      <c r="T77" s="16">
        <v>46159</v>
      </c>
      <c r="U77" s="16">
        <v>46161</v>
      </c>
      <c r="V77" s="19" t="s">
        <v>41</v>
      </c>
      <c r="W77" s="19" t="s">
        <v>32</v>
      </c>
      <c r="X77" s="18" t="s">
        <v>41</v>
      </c>
      <c r="Y77" s="14" t="s">
        <v>32</v>
      </c>
      <c r="Z77" s="6" t="s">
        <v>243</v>
      </c>
      <c r="AA77" s="8" t="s">
        <v>43</v>
      </c>
      <c r="AB77" s="11">
        <f>+VLOOKUP(A77,'[1]VALID RIM NUEVAM'!A$1:N$65536,14,0)</f>
        <v>2688402</v>
      </c>
      <c r="AC77" s="8" t="s">
        <v>43</v>
      </c>
      <c r="AD77" s="8"/>
      <c r="AE77" s="8"/>
    </row>
    <row r="78" spans="1:31" ht="45">
      <c r="A78" s="6" t="str">
        <f t="shared" si="1"/>
        <v>XA009229569ANHUI CHARDON ELECTRIC LIMITED</v>
      </c>
      <c r="B78" s="11" t="s">
        <v>320</v>
      </c>
      <c r="C78" s="65" t="s">
        <v>321</v>
      </c>
      <c r="D78" s="6">
        <v>8540000000</v>
      </c>
      <c r="E78" s="6" t="s">
        <v>32</v>
      </c>
      <c r="F78" s="8">
        <v>2538</v>
      </c>
      <c r="G78" s="9">
        <v>47877</v>
      </c>
      <c r="H78" s="8" t="s">
        <v>141</v>
      </c>
      <c r="I78" s="8" t="s">
        <v>240</v>
      </c>
      <c r="J78" s="66" t="s">
        <v>322</v>
      </c>
      <c r="K78" s="10" t="s">
        <v>36</v>
      </c>
      <c r="L78" s="11" t="s">
        <v>305</v>
      </c>
      <c r="M78" s="11" t="s">
        <v>38</v>
      </c>
      <c r="N78" s="12">
        <v>2638212</v>
      </c>
      <c r="O78" s="13" t="s">
        <v>241</v>
      </c>
      <c r="P78" s="14" t="s">
        <v>242</v>
      </c>
      <c r="Q78" s="172">
        <v>46163</v>
      </c>
      <c r="R78" s="15">
        <v>46347</v>
      </c>
      <c r="S78" s="176">
        <v>46128</v>
      </c>
      <c r="T78" s="16">
        <v>46159</v>
      </c>
      <c r="U78" s="16">
        <v>46161</v>
      </c>
      <c r="V78" s="19" t="s">
        <v>41</v>
      </c>
      <c r="W78" s="19" t="s">
        <v>32</v>
      </c>
      <c r="X78" s="18" t="s">
        <v>41</v>
      </c>
      <c r="Y78" s="14" t="s">
        <v>32</v>
      </c>
      <c r="Z78" s="6" t="s">
        <v>243</v>
      </c>
      <c r="AA78" s="8" t="s">
        <v>43</v>
      </c>
      <c r="AB78" s="11">
        <f>+VLOOKUP(A78,'[1]VALID RIM NUEVAM'!A$1:N$65536,14,0)</f>
        <v>2688402</v>
      </c>
      <c r="AC78" s="8" t="s">
        <v>43</v>
      </c>
      <c r="AD78" s="8"/>
      <c r="AE78" s="8"/>
    </row>
    <row r="79" spans="1:31" ht="45">
      <c r="A79" s="6" t="str">
        <f t="shared" si="1"/>
        <v>XA009229510ANHUI CHARDON ELECTRIC LIMITED</v>
      </c>
      <c r="B79" s="11" t="s">
        <v>323</v>
      </c>
      <c r="C79" s="65" t="s">
        <v>324</v>
      </c>
      <c r="D79" s="6">
        <v>8540000000</v>
      </c>
      <c r="E79" s="6" t="s">
        <v>32</v>
      </c>
      <c r="F79" s="8">
        <v>2538</v>
      </c>
      <c r="G79" s="9">
        <v>47877</v>
      </c>
      <c r="H79" s="8" t="s">
        <v>141</v>
      </c>
      <c r="I79" s="8" t="s">
        <v>240</v>
      </c>
      <c r="J79" s="66" t="s">
        <v>325</v>
      </c>
      <c r="K79" s="10" t="s">
        <v>36</v>
      </c>
      <c r="L79" s="11" t="s">
        <v>305</v>
      </c>
      <c r="M79" s="11" t="s">
        <v>38</v>
      </c>
      <c r="N79" s="12">
        <v>2638212</v>
      </c>
      <c r="O79" s="13" t="s">
        <v>241</v>
      </c>
      <c r="P79" s="14" t="s">
        <v>242</v>
      </c>
      <c r="Q79" s="172">
        <v>46163</v>
      </c>
      <c r="R79" s="15">
        <v>46347</v>
      </c>
      <c r="S79" s="176">
        <v>46128</v>
      </c>
      <c r="T79" s="16">
        <v>46159</v>
      </c>
      <c r="U79" s="16">
        <v>46161</v>
      </c>
      <c r="V79" s="19" t="s">
        <v>41</v>
      </c>
      <c r="W79" s="19" t="s">
        <v>32</v>
      </c>
      <c r="X79" s="18" t="s">
        <v>41</v>
      </c>
      <c r="Y79" s="14" t="s">
        <v>32</v>
      </c>
      <c r="Z79" s="6" t="s">
        <v>243</v>
      </c>
      <c r="AA79" s="8" t="s">
        <v>43</v>
      </c>
      <c r="AB79" s="11">
        <f>+VLOOKUP(A79,'[1]VALID RIM NUEVAM'!A$1:N$65536,14,0)</f>
        <v>2688402</v>
      </c>
      <c r="AC79" s="8" t="s">
        <v>43</v>
      </c>
      <c r="AD79" s="8"/>
      <c r="AE79" s="8"/>
    </row>
    <row r="80" spans="1:31" ht="45">
      <c r="A80" s="6" t="str">
        <f t="shared" si="1"/>
        <v>XA009229387ANHUI CHARDON ELECTRIC LIMITED</v>
      </c>
      <c r="B80" s="11" t="s">
        <v>326</v>
      </c>
      <c r="C80" s="65" t="s">
        <v>327</v>
      </c>
      <c r="D80" s="6">
        <v>8550000000</v>
      </c>
      <c r="E80" s="6" t="s">
        <v>32</v>
      </c>
      <c r="F80" s="8">
        <v>2538</v>
      </c>
      <c r="G80" s="9">
        <v>47877</v>
      </c>
      <c r="H80" s="8" t="s">
        <v>141</v>
      </c>
      <c r="I80" s="8" t="s">
        <v>240</v>
      </c>
      <c r="J80" s="66" t="s">
        <v>328</v>
      </c>
      <c r="K80" s="10" t="s">
        <v>36</v>
      </c>
      <c r="L80" s="11" t="s">
        <v>305</v>
      </c>
      <c r="M80" s="11" t="s">
        <v>38</v>
      </c>
      <c r="N80" s="12">
        <v>2638212</v>
      </c>
      <c r="O80" s="13" t="s">
        <v>241</v>
      </c>
      <c r="P80" s="14" t="s">
        <v>242</v>
      </c>
      <c r="Q80" s="172">
        <v>46163</v>
      </c>
      <c r="R80" s="15">
        <v>46347</v>
      </c>
      <c r="S80" s="176">
        <v>46128</v>
      </c>
      <c r="T80" s="16">
        <v>46159</v>
      </c>
      <c r="U80" s="16">
        <v>46161</v>
      </c>
      <c r="V80" s="19" t="s">
        <v>41</v>
      </c>
      <c r="W80" s="19" t="s">
        <v>32</v>
      </c>
      <c r="X80" s="18" t="s">
        <v>41</v>
      </c>
      <c r="Y80" s="14" t="s">
        <v>32</v>
      </c>
      <c r="Z80" s="6" t="s">
        <v>243</v>
      </c>
      <c r="AA80" s="8" t="s">
        <v>43</v>
      </c>
      <c r="AB80" s="11">
        <f>+VLOOKUP(A80,'[1]VALID RIM NUEVAM'!A$1:N$65536,14,0)</f>
        <v>2688402</v>
      </c>
      <c r="AC80" s="8" t="s">
        <v>43</v>
      </c>
      <c r="AD80" s="8"/>
      <c r="AE80" s="8"/>
    </row>
    <row r="81" spans="1:31" ht="45">
      <c r="A81" s="6" t="str">
        <f t="shared" si="1"/>
        <v>XA009228728ANHUI CHARDON ELECTRIC LIMITED</v>
      </c>
      <c r="B81" s="11" t="s">
        <v>329</v>
      </c>
      <c r="C81" s="65" t="s">
        <v>330</v>
      </c>
      <c r="D81" s="6">
        <v>8550000000</v>
      </c>
      <c r="E81" s="6" t="s">
        <v>32</v>
      </c>
      <c r="F81" s="8">
        <v>2538</v>
      </c>
      <c r="G81" s="9">
        <v>47877</v>
      </c>
      <c r="H81" s="8" t="s">
        <v>141</v>
      </c>
      <c r="I81" s="8" t="s">
        <v>240</v>
      </c>
      <c r="J81" s="66" t="s">
        <v>331</v>
      </c>
      <c r="K81" s="10" t="s">
        <v>36</v>
      </c>
      <c r="L81" s="11" t="s">
        <v>305</v>
      </c>
      <c r="M81" s="11" t="s">
        <v>38</v>
      </c>
      <c r="N81" s="12">
        <v>2638212</v>
      </c>
      <c r="O81" s="13" t="s">
        <v>241</v>
      </c>
      <c r="P81" s="14" t="s">
        <v>242</v>
      </c>
      <c r="Q81" s="172">
        <v>46163</v>
      </c>
      <c r="R81" s="15">
        <v>46347</v>
      </c>
      <c r="S81" s="176">
        <v>46128</v>
      </c>
      <c r="T81" s="16">
        <v>46159</v>
      </c>
      <c r="U81" s="16">
        <v>46161</v>
      </c>
      <c r="V81" s="19" t="s">
        <v>41</v>
      </c>
      <c r="W81" s="19" t="s">
        <v>32</v>
      </c>
      <c r="X81" s="18" t="s">
        <v>41</v>
      </c>
      <c r="Y81" s="14" t="s">
        <v>32</v>
      </c>
      <c r="Z81" s="6" t="s">
        <v>243</v>
      </c>
      <c r="AA81" s="8" t="s">
        <v>43</v>
      </c>
      <c r="AB81" s="11">
        <f>+VLOOKUP(A81,'[1]VALID RIM NUEVAM'!A$1:N$65536,14,0)</f>
        <v>2688402</v>
      </c>
      <c r="AC81" s="8" t="s">
        <v>43</v>
      </c>
      <c r="AD81" s="8"/>
      <c r="AE81" s="8"/>
    </row>
    <row r="82" spans="1:31" ht="45">
      <c r="A82" s="6" t="str">
        <f t="shared" si="1"/>
        <v>XA009228702ANHUI CHARDON ELECTRIC LIMITED</v>
      </c>
      <c r="B82" s="11" t="s">
        <v>332</v>
      </c>
      <c r="C82" s="65" t="s">
        <v>333</v>
      </c>
      <c r="D82" s="6">
        <v>8550000000</v>
      </c>
      <c r="E82" s="6" t="s">
        <v>32</v>
      </c>
      <c r="F82" s="8">
        <v>2538</v>
      </c>
      <c r="G82" s="9">
        <v>47877</v>
      </c>
      <c r="H82" s="8" t="s">
        <v>141</v>
      </c>
      <c r="I82" s="8" t="s">
        <v>240</v>
      </c>
      <c r="J82" s="66" t="s">
        <v>331</v>
      </c>
      <c r="K82" s="10" t="s">
        <v>36</v>
      </c>
      <c r="L82" s="11" t="s">
        <v>305</v>
      </c>
      <c r="M82" s="11" t="s">
        <v>38</v>
      </c>
      <c r="N82" s="12">
        <v>2638212</v>
      </c>
      <c r="O82" s="13" t="s">
        <v>241</v>
      </c>
      <c r="P82" s="14" t="s">
        <v>242</v>
      </c>
      <c r="Q82" s="172">
        <v>46163</v>
      </c>
      <c r="R82" s="15">
        <v>46347</v>
      </c>
      <c r="S82" s="176">
        <v>46128</v>
      </c>
      <c r="T82" s="16">
        <v>46159</v>
      </c>
      <c r="U82" s="16">
        <v>46161</v>
      </c>
      <c r="V82" s="19" t="s">
        <v>41</v>
      </c>
      <c r="W82" s="19" t="s">
        <v>32</v>
      </c>
      <c r="X82" s="18" t="s">
        <v>41</v>
      </c>
      <c r="Y82" s="14" t="s">
        <v>32</v>
      </c>
      <c r="Z82" s="6" t="s">
        <v>243</v>
      </c>
      <c r="AA82" s="8" t="s">
        <v>43</v>
      </c>
      <c r="AB82" s="11">
        <f>+VLOOKUP(A82,'[1]VALID RIM NUEVAM'!A$1:N$65536,14,0)</f>
        <v>2688402</v>
      </c>
      <c r="AC82" s="8" t="s">
        <v>43</v>
      </c>
      <c r="AD82" s="8"/>
      <c r="AE82" s="8"/>
    </row>
    <row r="83" spans="1:31" ht="45">
      <c r="A83" s="6" t="str">
        <f t="shared" si="1"/>
        <v>XA009228736ANHUI CHARDON ELECTRIC LIMITED</v>
      </c>
      <c r="B83" s="11" t="s">
        <v>334</v>
      </c>
      <c r="C83" s="65" t="s">
        <v>335</v>
      </c>
      <c r="D83" s="6">
        <v>8550000000</v>
      </c>
      <c r="E83" s="6" t="s">
        <v>32</v>
      </c>
      <c r="F83" s="8">
        <v>2538</v>
      </c>
      <c r="G83" s="9">
        <v>47877</v>
      </c>
      <c r="H83" s="8" t="s">
        <v>141</v>
      </c>
      <c r="I83" s="8" t="s">
        <v>240</v>
      </c>
      <c r="J83" s="66" t="s">
        <v>336</v>
      </c>
      <c r="K83" s="10" t="s">
        <v>36</v>
      </c>
      <c r="L83" s="11" t="s">
        <v>305</v>
      </c>
      <c r="M83" s="11" t="s">
        <v>38</v>
      </c>
      <c r="N83" s="12">
        <v>2638212</v>
      </c>
      <c r="O83" s="13" t="s">
        <v>241</v>
      </c>
      <c r="P83" s="14" t="s">
        <v>242</v>
      </c>
      <c r="Q83" s="172">
        <v>46163</v>
      </c>
      <c r="R83" s="15">
        <v>46347</v>
      </c>
      <c r="S83" s="176">
        <v>46128</v>
      </c>
      <c r="T83" s="16">
        <v>46159</v>
      </c>
      <c r="U83" s="16">
        <v>46161</v>
      </c>
      <c r="V83" s="19" t="s">
        <v>41</v>
      </c>
      <c r="W83" s="19" t="s">
        <v>32</v>
      </c>
      <c r="X83" s="18" t="s">
        <v>41</v>
      </c>
      <c r="Y83" s="14" t="s">
        <v>32</v>
      </c>
      <c r="Z83" s="6" t="s">
        <v>243</v>
      </c>
      <c r="AA83" s="8" t="s">
        <v>43</v>
      </c>
      <c r="AB83" s="11">
        <f>+VLOOKUP(A83,'[1]VALID RIM NUEVAM'!A$1:N$65536,14,0)</f>
        <v>2688402</v>
      </c>
      <c r="AC83" s="8" t="s">
        <v>43</v>
      </c>
      <c r="AD83" s="8"/>
      <c r="AE83" s="8"/>
    </row>
    <row r="84" spans="1:31" ht="45">
      <c r="A84" s="6" t="str">
        <f t="shared" si="1"/>
        <v>XA009228652ANHUI CHARDON ELECTRIC LIMITED</v>
      </c>
      <c r="B84" s="11" t="s">
        <v>337</v>
      </c>
      <c r="C84" s="65" t="s">
        <v>338</v>
      </c>
      <c r="D84" s="6">
        <v>8550000000</v>
      </c>
      <c r="E84" s="6" t="s">
        <v>32</v>
      </c>
      <c r="F84" s="8">
        <v>2538</v>
      </c>
      <c r="G84" s="9">
        <v>47877</v>
      </c>
      <c r="H84" s="8" t="s">
        <v>141</v>
      </c>
      <c r="I84" s="8" t="s">
        <v>240</v>
      </c>
      <c r="J84" s="66" t="s">
        <v>339</v>
      </c>
      <c r="K84" s="10" t="s">
        <v>36</v>
      </c>
      <c r="L84" s="11" t="s">
        <v>305</v>
      </c>
      <c r="M84" s="11" t="s">
        <v>38</v>
      </c>
      <c r="N84" s="12">
        <v>2638212</v>
      </c>
      <c r="O84" s="13" t="s">
        <v>241</v>
      </c>
      <c r="P84" s="14" t="s">
        <v>242</v>
      </c>
      <c r="Q84" s="172">
        <v>46163</v>
      </c>
      <c r="R84" s="15">
        <v>46347</v>
      </c>
      <c r="S84" s="176">
        <v>46128</v>
      </c>
      <c r="T84" s="16">
        <v>46159</v>
      </c>
      <c r="U84" s="16">
        <v>46161</v>
      </c>
      <c r="V84" s="19" t="s">
        <v>41</v>
      </c>
      <c r="W84" s="19" t="s">
        <v>32</v>
      </c>
      <c r="X84" s="18" t="s">
        <v>41</v>
      </c>
      <c r="Y84" s="14" t="s">
        <v>32</v>
      </c>
      <c r="Z84" s="6" t="s">
        <v>243</v>
      </c>
      <c r="AA84" s="8" t="s">
        <v>43</v>
      </c>
      <c r="AB84" s="11">
        <f>+VLOOKUP(A84,'[1]VALID RIM NUEVAM'!A$1:N$65536,14,0)</f>
        <v>2688402</v>
      </c>
      <c r="AC84" s="8" t="s">
        <v>43</v>
      </c>
      <c r="AD84" s="8"/>
      <c r="AE84" s="8"/>
    </row>
    <row r="85" spans="1:31" ht="45">
      <c r="A85" s="6" t="str">
        <f t="shared" si="1"/>
        <v>XA009228538ANHUI CHARDON ELECTRIC LIMITED</v>
      </c>
      <c r="B85" s="11" t="s">
        <v>340</v>
      </c>
      <c r="C85" s="65" t="s">
        <v>341</v>
      </c>
      <c r="D85" s="6">
        <v>8550000000</v>
      </c>
      <c r="E85" s="6" t="s">
        <v>32</v>
      </c>
      <c r="F85" s="8">
        <v>2538</v>
      </c>
      <c r="G85" s="9">
        <v>47877</v>
      </c>
      <c r="H85" s="8" t="s">
        <v>141</v>
      </c>
      <c r="I85" s="8" t="s">
        <v>240</v>
      </c>
      <c r="J85" s="66" t="s">
        <v>339</v>
      </c>
      <c r="K85" s="10" t="s">
        <v>36</v>
      </c>
      <c r="L85" s="11" t="s">
        <v>305</v>
      </c>
      <c r="M85" s="11" t="s">
        <v>38</v>
      </c>
      <c r="N85" s="12">
        <v>2638212</v>
      </c>
      <c r="O85" s="13" t="s">
        <v>241</v>
      </c>
      <c r="P85" s="14" t="s">
        <v>242</v>
      </c>
      <c r="Q85" s="172">
        <v>46163</v>
      </c>
      <c r="R85" s="15">
        <v>46347</v>
      </c>
      <c r="S85" s="176">
        <v>46128</v>
      </c>
      <c r="T85" s="16">
        <v>46159</v>
      </c>
      <c r="U85" s="16">
        <v>46161</v>
      </c>
      <c r="V85" s="19" t="s">
        <v>41</v>
      </c>
      <c r="W85" s="19" t="s">
        <v>32</v>
      </c>
      <c r="X85" s="18" t="s">
        <v>41</v>
      </c>
      <c r="Y85" s="14" t="s">
        <v>32</v>
      </c>
      <c r="Z85" s="6" t="s">
        <v>243</v>
      </c>
      <c r="AA85" s="8" t="s">
        <v>43</v>
      </c>
      <c r="AB85" s="11">
        <f>+VLOOKUP(A85,'[1]VALID RIM NUEVAM'!A$1:N$65536,14,0)</f>
        <v>2688402</v>
      </c>
      <c r="AC85" s="8" t="s">
        <v>43</v>
      </c>
      <c r="AD85" s="8"/>
      <c r="AE85" s="8"/>
    </row>
    <row r="86" spans="1:31" ht="45">
      <c r="A86" s="6" t="str">
        <f t="shared" si="1"/>
        <v>XA009228520ANHUI CHARDON ELECTRIC LIMITED</v>
      </c>
      <c r="B86" s="11" t="s">
        <v>342</v>
      </c>
      <c r="C86" s="65" t="s">
        <v>343</v>
      </c>
      <c r="D86" s="6">
        <v>8550000000</v>
      </c>
      <c r="E86" s="6" t="s">
        <v>32</v>
      </c>
      <c r="F86" s="8">
        <v>2538</v>
      </c>
      <c r="G86" s="9">
        <v>47877</v>
      </c>
      <c r="H86" s="8" t="s">
        <v>141</v>
      </c>
      <c r="I86" s="8" t="s">
        <v>240</v>
      </c>
      <c r="J86" s="66" t="s">
        <v>339</v>
      </c>
      <c r="K86" s="10" t="s">
        <v>36</v>
      </c>
      <c r="L86" s="11" t="s">
        <v>305</v>
      </c>
      <c r="M86" s="11" t="s">
        <v>38</v>
      </c>
      <c r="N86" s="12">
        <v>2638212</v>
      </c>
      <c r="O86" s="13" t="s">
        <v>241</v>
      </c>
      <c r="P86" s="14" t="s">
        <v>242</v>
      </c>
      <c r="Q86" s="172">
        <v>46163</v>
      </c>
      <c r="R86" s="15">
        <v>46347</v>
      </c>
      <c r="S86" s="176">
        <v>46128</v>
      </c>
      <c r="T86" s="16">
        <v>46159</v>
      </c>
      <c r="U86" s="16">
        <v>46161</v>
      </c>
      <c r="V86" s="19" t="s">
        <v>41</v>
      </c>
      <c r="W86" s="19" t="s">
        <v>32</v>
      </c>
      <c r="X86" s="18" t="s">
        <v>41</v>
      </c>
      <c r="Y86" s="14" t="s">
        <v>32</v>
      </c>
      <c r="Z86" s="6" t="s">
        <v>243</v>
      </c>
      <c r="AA86" s="8" t="s">
        <v>43</v>
      </c>
      <c r="AB86" s="11">
        <f>+VLOOKUP(A86,'[1]VALID RIM NUEVAM'!A$1:N$65536,14,0)</f>
        <v>2688402</v>
      </c>
      <c r="AC86" s="8" t="s">
        <v>43</v>
      </c>
      <c r="AD86" s="8"/>
      <c r="AE86" s="8"/>
    </row>
    <row r="87" spans="1:31" ht="45">
      <c r="A87" s="6" t="str">
        <f t="shared" si="1"/>
        <v>XA009229551ANHUI CHARDON ELECTRIC LIMITED</v>
      </c>
      <c r="B87" s="11" t="s">
        <v>344</v>
      </c>
      <c r="C87" s="65" t="s">
        <v>345</v>
      </c>
      <c r="D87" s="6">
        <v>8540000000</v>
      </c>
      <c r="E87" s="6" t="s">
        <v>32</v>
      </c>
      <c r="F87" s="8">
        <v>2538</v>
      </c>
      <c r="G87" s="9">
        <v>47877</v>
      </c>
      <c r="H87" s="8" t="s">
        <v>141</v>
      </c>
      <c r="I87" s="8" t="s">
        <v>240</v>
      </c>
      <c r="J87" s="66" t="s">
        <v>346</v>
      </c>
      <c r="K87" s="10" t="s">
        <v>36</v>
      </c>
      <c r="L87" s="11" t="s">
        <v>305</v>
      </c>
      <c r="M87" s="11" t="s">
        <v>38</v>
      </c>
      <c r="N87" s="67">
        <v>2638212</v>
      </c>
      <c r="O87" s="13" t="s">
        <v>241</v>
      </c>
      <c r="P87" s="14" t="s">
        <v>242</v>
      </c>
      <c r="Q87" s="172">
        <v>46163</v>
      </c>
      <c r="R87" s="15">
        <v>46347</v>
      </c>
      <c r="S87" s="176">
        <v>46128</v>
      </c>
      <c r="T87" s="16">
        <v>46159</v>
      </c>
      <c r="U87" s="16">
        <v>46161</v>
      </c>
      <c r="V87" s="19" t="s">
        <v>41</v>
      </c>
      <c r="W87" s="19" t="s">
        <v>32</v>
      </c>
      <c r="X87" s="18" t="s">
        <v>41</v>
      </c>
      <c r="Y87" s="14" t="s">
        <v>32</v>
      </c>
      <c r="Z87" s="6" t="s">
        <v>243</v>
      </c>
      <c r="AA87" s="8" t="s">
        <v>43</v>
      </c>
      <c r="AB87" s="11">
        <f>+VLOOKUP(A87,'[1]VALID RIM NUEVAM'!A$1:N$65536,14,0)</f>
        <v>2688402</v>
      </c>
      <c r="AC87" s="8" t="s">
        <v>43</v>
      </c>
      <c r="AD87" s="8"/>
      <c r="AE87" s="8"/>
    </row>
    <row r="88" spans="1:31" ht="180">
      <c r="A88" s="6" t="str">
        <f t="shared" si="1"/>
        <v>700706123643M COMPANY</v>
      </c>
      <c r="B88" s="11">
        <v>70070612364</v>
      </c>
      <c r="C88" s="6" t="s">
        <v>347</v>
      </c>
      <c r="D88" s="6">
        <v>6307903010</v>
      </c>
      <c r="E88" s="6">
        <v>20144736</v>
      </c>
      <c r="F88" s="8" t="s">
        <v>348</v>
      </c>
      <c r="G88" s="9">
        <v>46883</v>
      </c>
      <c r="H88" s="8" t="s">
        <v>45</v>
      </c>
      <c r="I88" s="8" t="s">
        <v>35</v>
      </c>
      <c r="J88" s="10">
        <v>94.269499999999994</v>
      </c>
      <c r="K88" s="10" t="s">
        <v>36</v>
      </c>
      <c r="L88" s="11" t="s">
        <v>349</v>
      </c>
      <c r="M88" s="11" t="s">
        <v>38</v>
      </c>
      <c r="N88" s="12">
        <v>2655840</v>
      </c>
      <c r="O88" s="13" t="s">
        <v>350</v>
      </c>
      <c r="P88" s="14" t="s">
        <v>351</v>
      </c>
      <c r="Q88" s="172">
        <v>46176</v>
      </c>
      <c r="R88" s="15">
        <v>46359</v>
      </c>
      <c r="S88" s="176">
        <v>46174</v>
      </c>
      <c r="T88" s="16">
        <v>46175</v>
      </c>
      <c r="U88" s="16">
        <v>46175</v>
      </c>
      <c r="V88" s="19" t="s">
        <v>41</v>
      </c>
      <c r="W88" s="19" t="s">
        <v>32</v>
      </c>
      <c r="X88" s="18" t="s">
        <v>41</v>
      </c>
      <c r="Y88" s="14" t="s">
        <v>32</v>
      </c>
      <c r="Z88" s="6"/>
      <c r="AA88" s="8" t="s">
        <v>43</v>
      </c>
      <c r="AB88" s="11" t="e">
        <f>+VLOOKUP(A88,'[1]VALID RIM NUEVAM'!A$1:O$65536,15,0)</f>
        <v>#N/A</v>
      </c>
      <c r="AC88" s="8" t="s">
        <v>43</v>
      </c>
      <c r="AD88" s="8"/>
      <c r="AE88" s="8"/>
    </row>
    <row r="89" spans="1:31" ht="30">
      <c r="A89" s="68" t="str">
        <f t="shared" si="1"/>
        <v>806105929923M COMPANY</v>
      </c>
      <c r="B89" s="69">
        <v>80610592992</v>
      </c>
      <c r="C89" s="68" t="s">
        <v>114</v>
      </c>
      <c r="D89" s="68">
        <v>3814009000</v>
      </c>
      <c r="E89" s="68" t="s">
        <v>32</v>
      </c>
      <c r="F89" s="70" t="s">
        <v>115</v>
      </c>
      <c r="G89" s="71" t="s">
        <v>32</v>
      </c>
      <c r="H89" s="70" t="s">
        <v>108</v>
      </c>
      <c r="I89" s="70" t="s">
        <v>35</v>
      </c>
      <c r="J89" s="72">
        <v>3.8715000000000002</v>
      </c>
      <c r="K89" s="72" t="s">
        <v>36</v>
      </c>
      <c r="L89" s="73" t="s">
        <v>37</v>
      </c>
      <c r="M89" s="73" t="s">
        <v>116</v>
      </c>
      <c r="N89" s="74">
        <v>2697515</v>
      </c>
      <c r="O89" s="75" t="s">
        <v>352</v>
      </c>
      <c r="P89" s="76" t="s">
        <v>353</v>
      </c>
      <c r="Q89" s="172">
        <v>46282</v>
      </c>
      <c r="R89" s="77">
        <v>46372</v>
      </c>
      <c r="S89" s="176">
        <v>46276</v>
      </c>
      <c r="T89" s="78">
        <v>46279</v>
      </c>
      <c r="U89" s="78">
        <v>46279</v>
      </c>
      <c r="V89" s="79" t="s">
        <v>41</v>
      </c>
      <c r="W89" s="79" t="s">
        <v>32</v>
      </c>
      <c r="X89" s="80" t="s">
        <v>41</v>
      </c>
      <c r="Y89" s="76" t="s">
        <v>32</v>
      </c>
      <c r="Z89" s="68"/>
      <c r="AA89" s="70" t="s">
        <v>43</v>
      </c>
      <c r="AB89" s="68" t="e">
        <f>+VLOOKUP(A89,'[1]VALID RIM NUEVAM'!A$1:O$65536,15,0)</f>
        <v>#N/A</v>
      </c>
      <c r="AC89" s="70"/>
      <c r="AD89" s="70"/>
      <c r="AE89" s="70"/>
    </row>
    <row r="90" spans="1:31" ht="45">
      <c r="A90" s="6" t="str">
        <f t="shared" si="1"/>
        <v>806100339223M COMPANY</v>
      </c>
      <c r="B90" s="7">
        <v>80610033922</v>
      </c>
      <c r="C90" s="6">
        <v>40149</v>
      </c>
      <c r="D90" s="6">
        <v>8535909000</v>
      </c>
      <c r="E90" s="6" t="s">
        <v>32</v>
      </c>
      <c r="F90" s="8">
        <v>3517</v>
      </c>
      <c r="G90" s="60">
        <v>47733</v>
      </c>
      <c r="H90" s="8" t="s">
        <v>141</v>
      </c>
      <c r="I90" s="8" t="s">
        <v>35</v>
      </c>
      <c r="J90" s="10">
        <v>12.327999999999999</v>
      </c>
      <c r="K90" s="10" t="s">
        <v>36</v>
      </c>
      <c r="L90" s="11" t="s">
        <v>37</v>
      </c>
      <c r="M90" s="11" t="s">
        <v>38</v>
      </c>
      <c r="N90" s="12">
        <v>2661741</v>
      </c>
      <c r="O90" s="13" t="s">
        <v>354</v>
      </c>
      <c r="P90" s="14" t="s">
        <v>355</v>
      </c>
      <c r="Q90" s="172">
        <v>46195</v>
      </c>
      <c r="R90" s="15">
        <v>46378</v>
      </c>
      <c r="S90" s="176">
        <v>46190</v>
      </c>
      <c r="T90" s="16">
        <v>46191</v>
      </c>
      <c r="U90" s="16">
        <v>46191</v>
      </c>
      <c r="V90" s="17" t="s">
        <v>41</v>
      </c>
      <c r="W90" s="17" t="s">
        <v>32</v>
      </c>
      <c r="X90" s="18" t="s">
        <v>41</v>
      </c>
      <c r="Y90" s="14" t="s">
        <v>32</v>
      </c>
      <c r="Z90" s="6" t="s">
        <v>356</v>
      </c>
      <c r="AA90" s="8" t="s">
        <v>43</v>
      </c>
      <c r="AB90" s="11" t="e">
        <f>+VLOOKUP(A90,'[1]VALID RIM NUEVAM'!A$1:O$65536,15,0)</f>
        <v>#N/A</v>
      </c>
      <c r="AC90" s="8"/>
      <c r="AD90" s="8"/>
      <c r="AE90" s="8"/>
    </row>
    <row r="91" spans="1:31" ht="30">
      <c r="A91" s="68" t="str">
        <f t="shared" si="1"/>
        <v>UU0131386133M CHILE SA</v>
      </c>
      <c r="B91" s="69" t="s">
        <v>357</v>
      </c>
      <c r="C91" s="68" t="s">
        <v>358</v>
      </c>
      <c r="D91" s="68">
        <v>3005109000</v>
      </c>
      <c r="E91" s="68">
        <v>20325647</v>
      </c>
      <c r="F91" s="70" t="s">
        <v>359</v>
      </c>
      <c r="G91" s="71">
        <v>49740</v>
      </c>
      <c r="H91" s="70" t="s">
        <v>45</v>
      </c>
      <c r="I91" s="70" t="s">
        <v>360</v>
      </c>
      <c r="J91" s="81">
        <v>8.0380000000000003</v>
      </c>
      <c r="K91" s="72" t="s">
        <v>36</v>
      </c>
      <c r="L91" s="73" t="s">
        <v>361</v>
      </c>
      <c r="M91" s="73" t="s">
        <v>86</v>
      </c>
      <c r="N91" s="74">
        <v>2660655</v>
      </c>
      <c r="O91" s="75" t="s">
        <v>362</v>
      </c>
      <c r="P91" s="76" t="s">
        <v>363</v>
      </c>
      <c r="Q91" s="172">
        <v>46191</v>
      </c>
      <c r="R91" s="77">
        <v>46374</v>
      </c>
      <c r="S91" s="176">
        <v>46185</v>
      </c>
      <c r="T91" s="78">
        <v>46189</v>
      </c>
      <c r="U91" s="78">
        <v>46189</v>
      </c>
      <c r="V91" s="79" t="s">
        <v>41</v>
      </c>
      <c r="W91" s="79" t="s">
        <v>32</v>
      </c>
      <c r="X91" s="80" t="s">
        <v>41</v>
      </c>
      <c r="Y91" s="76" t="s">
        <v>32</v>
      </c>
      <c r="Z91" s="82"/>
      <c r="AA91" s="83" t="s">
        <v>43</v>
      </c>
      <c r="AB91" s="73" t="e">
        <f>+VLOOKUP(A91,'[1]VALID RIM NUEVAM'!A$1:O$65536,15,0)</f>
        <v>#N/A</v>
      </c>
      <c r="AC91" s="70" t="s">
        <v>43</v>
      </c>
      <c r="AD91" s="70"/>
      <c r="AE91" s="70"/>
    </row>
    <row r="92" spans="1:31" ht="45">
      <c r="A92" s="6" t="str">
        <f t="shared" si="1"/>
        <v>806100337573M COMPANY</v>
      </c>
      <c r="B92" s="7">
        <v>80610033757</v>
      </c>
      <c r="C92" s="6">
        <v>40033</v>
      </c>
      <c r="D92" s="6">
        <v>8535909000</v>
      </c>
      <c r="E92" s="6" t="s">
        <v>32</v>
      </c>
      <c r="F92" s="8">
        <v>3517</v>
      </c>
      <c r="G92" s="60">
        <v>47733</v>
      </c>
      <c r="H92" s="8" t="s">
        <v>141</v>
      </c>
      <c r="I92" s="8" t="s">
        <v>35</v>
      </c>
      <c r="J92" s="10">
        <v>6.56</v>
      </c>
      <c r="K92" s="10" t="s">
        <v>36</v>
      </c>
      <c r="L92" s="11" t="s">
        <v>37</v>
      </c>
      <c r="M92" s="11" t="s">
        <v>46</v>
      </c>
      <c r="N92" s="12">
        <v>2661741</v>
      </c>
      <c r="O92" s="13" t="s">
        <v>354</v>
      </c>
      <c r="P92" s="14" t="s">
        <v>355</v>
      </c>
      <c r="Q92" s="172">
        <v>46195</v>
      </c>
      <c r="R92" s="15">
        <v>46378</v>
      </c>
      <c r="S92" s="176">
        <v>46190</v>
      </c>
      <c r="T92" s="16">
        <v>46191</v>
      </c>
      <c r="U92" s="16">
        <v>46191</v>
      </c>
      <c r="V92" s="17" t="s">
        <v>41</v>
      </c>
      <c r="W92" s="17" t="s">
        <v>32</v>
      </c>
      <c r="X92" s="18" t="s">
        <v>41</v>
      </c>
      <c r="Y92" s="14" t="s">
        <v>32</v>
      </c>
      <c r="Z92" s="6" t="s">
        <v>356</v>
      </c>
      <c r="AA92" s="8" t="s">
        <v>43</v>
      </c>
      <c r="AB92" s="11" t="e">
        <f>+VLOOKUP(A92,'[1]VALID RIM NUEVAM'!A$1:O$65536,15,0)</f>
        <v>#N/A</v>
      </c>
      <c r="AC92" s="8" t="s">
        <v>43</v>
      </c>
      <c r="AD92" s="8">
        <v>25115682</v>
      </c>
      <c r="AE92" s="8" t="e">
        <v>#N/A</v>
      </c>
    </row>
    <row r="93" spans="1:31" ht="45">
      <c r="A93" s="68" t="str">
        <f t="shared" si="1"/>
        <v>806100339143M COMPANY</v>
      </c>
      <c r="B93" s="69">
        <v>80610033914</v>
      </c>
      <c r="C93" s="68">
        <v>40145</v>
      </c>
      <c r="D93" s="68">
        <v>8535909000</v>
      </c>
      <c r="E93" s="68" t="s">
        <v>32</v>
      </c>
      <c r="F93" s="70">
        <v>3517</v>
      </c>
      <c r="G93" s="84">
        <v>47733</v>
      </c>
      <c r="H93" s="70" t="s">
        <v>141</v>
      </c>
      <c r="I93" s="70" t="s">
        <v>35</v>
      </c>
      <c r="J93" s="72">
        <v>10.32</v>
      </c>
      <c r="K93" s="72" t="s">
        <v>36</v>
      </c>
      <c r="L93" s="73" t="s">
        <v>37</v>
      </c>
      <c r="M93" s="73" t="s">
        <v>46</v>
      </c>
      <c r="N93" s="74">
        <v>2661741</v>
      </c>
      <c r="O93" s="75" t="s">
        <v>354</v>
      </c>
      <c r="P93" s="76" t="s">
        <v>355</v>
      </c>
      <c r="Q93" s="172">
        <v>46195</v>
      </c>
      <c r="R93" s="77">
        <v>46378</v>
      </c>
      <c r="S93" s="176">
        <v>46190</v>
      </c>
      <c r="T93" s="78">
        <v>46191</v>
      </c>
      <c r="U93" s="78">
        <v>46191</v>
      </c>
      <c r="V93" s="79" t="s">
        <v>41</v>
      </c>
      <c r="W93" s="79" t="s">
        <v>32</v>
      </c>
      <c r="X93" s="80" t="s">
        <v>41</v>
      </c>
      <c r="Y93" s="76" t="s">
        <v>32</v>
      </c>
      <c r="Z93" s="68"/>
      <c r="AA93" s="70" t="s">
        <v>43</v>
      </c>
      <c r="AB93" s="73" t="e">
        <f>+VLOOKUP(A93,'[1]VALID RIM NUEVAM'!A$1:O$65536,15,0)</f>
        <v>#N/A</v>
      </c>
      <c r="AC93" s="70" t="s">
        <v>43</v>
      </c>
      <c r="AD93" s="70">
        <v>25115682</v>
      </c>
      <c r="AE93" s="70" t="s">
        <v>364</v>
      </c>
    </row>
    <row r="94" spans="1:31" ht="30">
      <c r="A94" s="68" t="str">
        <f t="shared" si="1"/>
        <v>HT0020013093M DO BRASIL LTDA</v>
      </c>
      <c r="B94" s="69" t="s">
        <v>365</v>
      </c>
      <c r="C94" s="68" t="s">
        <v>366</v>
      </c>
      <c r="D94" s="68">
        <v>4005919000</v>
      </c>
      <c r="E94" s="68" t="s">
        <v>32</v>
      </c>
      <c r="F94" s="70">
        <v>3539</v>
      </c>
      <c r="G94" s="71">
        <v>47744</v>
      </c>
      <c r="H94" s="70" t="s">
        <v>122</v>
      </c>
      <c r="I94" s="70" t="s">
        <v>94</v>
      </c>
      <c r="J94" s="85">
        <v>2339</v>
      </c>
      <c r="K94" s="72" t="s">
        <v>36</v>
      </c>
      <c r="L94" s="73" t="s">
        <v>95</v>
      </c>
      <c r="M94" s="73" t="s">
        <v>96</v>
      </c>
      <c r="N94" s="74">
        <v>2662356</v>
      </c>
      <c r="O94" s="75" t="s">
        <v>367</v>
      </c>
      <c r="P94" s="76" t="s">
        <v>368</v>
      </c>
      <c r="Q94" s="172">
        <v>46196</v>
      </c>
      <c r="R94" s="77">
        <v>46378</v>
      </c>
      <c r="S94" s="176">
        <v>46191</v>
      </c>
      <c r="T94" s="78">
        <v>46192</v>
      </c>
      <c r="U94" s="78">
        <v>46192</v>
      </c>
      <c r="V94" s="79" t="s">
        <v>41</v>
      </c>
      <c r="W94" s="79" t="s">
        <v>32</v>
      </c>
      <c r="X94" s="80" t="s">
        <v>41</v>
      </c>
      <c r="Y94" s="76" t="s">
        <v>32</v>
      </c>
      <c r="Z94" s="68"/>
      <c r="AA94" s="70" t="s">
        <v>43</v>
      </c>
      <c r="AB94" s="73" t="e">
        <f>+VLOOKUP(A94,'[1]VALID RIM NUEVAM'!A$1:O$65536,15,0)</f>
        <v>#N/A</v>
      </c>
      <c r="AC94" s="70" t="s">
        <v>43</v>
      </c>
      <c r="AD94" s="70">
        <v>2521908</v>
      </c>
      <c r="AE94" s="70" t="s">
        <v>369</v>
      </c>
    </row>
    <row r="95" spans="1:31" ht="30">
      <c r="A95" s="68" t="str">
        <f t="shared" si="1"/>
        <v>HC0005923823M DO BRASIL LTDA</v>
      </c>
      <c r="B95" s="69" t="s">
        <v>370</v>
      </c>
      <c r="C95" s="68" t="s">
        <v>371</v>
      </c>
      <c r="D95" s="68">
        <v>4005919000</v>
      </c>
      <c r="E95" s="68" t="s">
        <v>32</v>
      </c>
      <c r="F95" s="70">
        <v>3540</v>
      </c>
      <c r="G95" s="71">
        <v>47744</v>
      </c>
      <c r="H95" s="70" t="s">
        <v>122</v>
      </c>
      <c r="I95" s="70" t="s">
        <v>94</v>
      </c>
      <c r="J95" s="85">
        <v>1843</v>
      </c>
      <c r="K95" s="72" t="s">
        <v>36</v>
      </c>
      <c r="L95" s="73" t="s">
        <v>95</v>
      </c>
      <c r="M95" s="73" t="s">
        <v>96</v>
      </c>
      <c r="N95" s="74">
        <v>2662356</v>
      </c>
      <c r="O95" s="75" t="s">
        <v>367</v>
      </c>
      <c r="P95" s="76" t="s">
        <v>368</v>
      </c>
      <c r="Q95" s="172">
        <v>46196</v>
      </c>
      <c r="R95" s="77">
        <v>46378</v>
      </c>
      <c r="S95" s="176">
        <v>46191</v>
      </c>
      <c r="T95" s="78">
        <v>46192</v>
      </c>
      <c r="U95" s="78">
        <v>46192</v>
      </c>
      <c r="V95" s="79" t="s">
        <v>41</v>
      </c>
      <c r="W95" s="79" t="s">
        <v>32</v>
      </c>
      <c r="X95" s="80" t="s">
        <v>41</v>
      </c>
      <c r="Y95" s="76" t="s">
        <v>32</v>
      </c>
      <c r="Z95" s="68"/>
      <c r="AA95" s="70" t="s">
        <v>43</v>
      </c>
      <c r="AB95" s="73" t="e">
        <f>+VLOOKUP(A95,'[1]VALID RIM NUEVAM'!A$1:O$65536,15,0)</f>
        <v>#N/A</v>
      </c>
      <c r="AC95" s="70" t="s">
        <v>43</v>
      </c>
      <c r="AD95" s="70">
        <v>2521908</v>
      </c>
      <c r="AE95" s="70" t="s">
        <v>372</v>
      </c>
    </row>
    <row r="96" spans="1:31" ht="30">
      <c r="A96" s="68" t="str">
        <f t="shared" si="1"/>
        <v>HB0045342263M DO BRASIL LTDA</v>
      </c>
      <c r="B96" s="69" t="s">
        <v>373</v>
      </c>
      <c r="C96" s="68" t="s">
        <v>374</v>
      </c>
      <c r="D96" s="68">
        <v>3919100000</v>
      </c>
      <c r="E96" s="68" t="s">
        <v>32</v>
      </c>
      <c r="F96" s="70">
        <v>3536</v>
      </c>
      <c r="G96" s="71">
        <v>47744</v>
      </c>
      <c r="H96" s="70" t="s">
        <v>122</v>
      </c>
      <c r="I96" s="70" t="s">
        <v>94</v>
      </c>
      <c r="J96" s="72" t="s">
        <v>375</v>
      </c>
      <c r="K96" s="72" t="s">
        <v>36</v>
      </c>
      <c r="L96" s="73" t="s">
        <v>37</v>
      </c>
      <c r="M96" s="73" t="s">
        <v>96</v>
      </c>
      <c r="N96" s="74">
        <v>2662356</v>
      </c>
      <c r="O96" s="75" t="s">
        <v>367</v>
      </c>
      <c r="P96" s="76" t="s">
        <v>368</v>
      </c>
      <c r="Q96" s="172">
        <v>46196</v>
      </c>
      <c r="R96" s="77">
        <v>46378</v>
      </c>
      <c r="S96" s="176">
        <v>46191</v>
      </c>
      <c r="T96" s="78">
        <v>46192</v>
      </c>
      <c r="U96" s="78">
        <v>46192</v>
      </c>
      <c r="V96" s="79" t="s">
        <v>41</v>
      </c>
      <c r="W96" s="79" t="s">
        <v>32</v>
      </c>
      <c r="X96" s="80" t="s">
        <v>41</v>
      </c>
      <c r="Y96" s="76" t="s">
        <v>32</v>
      </c>
      <c r="Z96" s="68"/>
      <c r="AA96" s="70" t="s">
        <v>43</v>
      </c>
      <c r="AB96" s="73" t="e">
        <f>+VLOOKUP(A96,'[1]VALID RIM NUEVAM'!A$1:O$65536,15,0)</f>
        <v>#N/A</v>
      </c>
      <c r="AC96" s="70" t="s">
        <v>43</v>
      </c>
      <c r="AD96" s="70">
        <v>2533441</v>
      </c>
      <c r="AE96" s="70" t="s">
        <v>376</v>
      </c>
    </row>
    <row r="97" spans="1:31" ht="30">
      <c r="A97" s="68" t="str">
        <f t="shared" si="1"/>
        <v>HT0020003273M DO BRASIL LTDA</v>
      </c>
      <c r="B97" s="69" t="s">
        <v>377</v>
      </c>
      <c r="C97" s="68" t="s">
        <v>378</v>
      </c>
      <c r="D97" s="68">
        <v>4005919000</v>
      </c>
      <c r="E97" s="68" t="s">
        <v>32</v>
      </c>
      <c r="F97" s="70">
        <v>3539</v>
      </c>
      <c r="G97" s="71">
        <v>47744</v>
      </c>
      <c r="H97" s="70" t="s">
        <v>122</v>
      </c>
      <c r="I97" s="70" t="s">
        <v>94</v>
      </c>
      <c r="J97" s="85">
        <v>1985</v>
      </c>
      <c r="K97" s="72" t="s">
        <v>36</v>
      </c>
      <c r="L97" s="73" t="s">
        <v>95</v>
      </c>
      <c r="M97" s="73" t="s">
        <v>96</v>
      </c>
      <c r="N97" s="74">
        <v>2662356</v>
      </c>
      <c r="O97" s="75" t="s">
        <v>367</v>
      </c>
      <c r="P97" s="76" t="s">
        <v>368</v>
      </c>
      <c r="Q97" s="172">
        <v>46196</v>
      </c>
      <c r="R97" s="77">
        <v>46378</v>
      </c>
      <c r="S97" s="176">
        <v>46191</v>
      </c>
      <c r="T97" s="78">
        <v>46192</v>
      </c>
      <c r="U97" s="78">
        <v>46192</v>
      </c>
      <c r="V97" s="79" t="s">
        <v>41</v>
      </c>
      <c r="W97" s="79" t="s">
        <v>32</v>
      </c>
      <c r="X97" s="80" t="s">
        <v>41</v>
      </c>
      <c r="Y97" s="76" t="s">
        <v>32</v>
      </c>
      <c r="Z97" s="68"/>
      <c r="AA97" s="70" t="s">
        <v>43</v>
      </c>
      <c r="AB97" s="73" t="e">
        <f>+VLOOKUP(A97,'[1]VALID RIM NUEVAM'!A$1:O$65536,15,0)</f>
        <v>#N/A</v>
      </c>
      <c r="AC97" s="70" t="s">
        <v>43</v>
      </c>
      <c r="AD97" s="70">
        <v>2525962</v>
      </c>
      <c r="AE97" s="70" t="s">
        <v>379</v>
      </c>
    </row>
    <row r="98" spans="1:31" ht="255">
      <c r="A98" s="68" t="str">
        <f t="shared" si="1"/>
        <v>700708401633M COMPANY</v>
      </c>
      <c r="B98" s="69">
        <v>70070840163</v>
      </c>
      <c r="C98" s="68" t="s">
        <v>380</v>
      </c>
      <c r="D98" s="68" t="s">
        <v>381</v>
      </c>
      <c r="E98" s="68">
        <v>20153549</v>
      </c>
      <c r="F98" s="70" t="s">
        <v>382</v>
      </c>
      <c r="G98" s="71">
        <v>48461</v>
      </c>
      <c r="H98" s="70" t="s">
        <v>383</v>
      </c>
      <c r="I98" s="70" t="s">
        <v>35</v>
      </c>
      <c r="J98" s="86">
        <v>41.64</v>
      </c>
      <c r="K98" s="72" t="s">
        <v>36</v>
      </c>
      <c r="L98" s="73" t="s">
        <v>37</v>
      </c>
      <c r="M98" s="73" t="s">
        <v>86</v>
      </c>
      <c r="N98" s="74">
        <v>2660576</v>
      </c>
      <c r="O98" s="75" t="s">
        <v>384</v>
      </c>
      <c r="P98" s="76" t="s">
        <v>385</v>
      </c>
      <c r="Q98" s="172">
        <v>46198</v>
      </c>
      <c r="R98" s="77">
        <v>46381</v>
      </c>
      <c r="S98" s="176">
        <v>46185</v>
      </c>
      <c r="T98" s="78">
        <v>46185</v>
      </c>
      <c r="U98" s="78">
        <v>46185</v>
      </c>
      <c r="V98" s="79" t="s">
        <v>41</v>
      </c>
      <c r="W98" s="79" t="s">
        <v>32</v>
      </c>
      <c r="X98" s="80" t="s">
        <v>41</v>
      </c>
      <c r="Y98" s="76" t="s">
        <v>32</v>
      </c>
      <c r="Z98" s="68"/>
      <c r="AA98" s="70" t="s">
        <v>43</v>
      </c>
      <c r="AB98" s="73" t="e">
        <f>+VLOOKUP(A98,'[1]VALID RIM NUEVAM'!A$1:O$65536,15,0)</f>
        <v>#N/A</v>
      </c>
      <c r="AC98" s="70" t="s">
        <v>43</v>
      </c>
      <c r="AD98" s="70"/>
      <c r="AE98" s="70" t="s">
        <v>386</v>
      </c>
    </row>
    <row r="99" spans="1:31" ht="409.5">
      <c r="A99" s="68" t="str">
        <f t="shared" si="1"/>
        <v>XA009228769ANHUI CHARDON ELECTRIC LIMITED</v>
      </c>
      <c r="B99" s="69" t="s">
        <v>387</v>
      </c>
      <c r="C99" s="68" t="s">
        <v>388</v>
      </c>
      <c r="D99" s="68">
        <v>8540000000</v>
      </c>
      <c r="E99" s="68" t="s">
        <v>32</v>
      </c>
      <c r="F99" s="70" t="s">
        <v>389</v>
      </c>
      <c r="G99" s="71" t="s">
        <v>390</v>
      </c>
      <c r="H99" s="70" t="s">
        <v>391</v>
      </c>
      <c r="I99" s="70" t="s">
        <v>240</v>
      </c>
      <c r="J99" s="72">
        <v>386.57</v>
      </c>
      <c r="K99" s="72" t="s">
        <v>36</v>
      </c>
      <c r="L99" s="73" t="s">
        <v>222</v>
      </c>
      <c r="M99" s="73" t="s">
        <v>38</v>
      </c>
      <c r="N99" s="74">
        <v>2645802</v>
      </c>
      <c r="O99" s="75" t="s">
        <v>392</v>
      </c>
      <c r="P99" s="76" t="s">
        <v>393</v>
      </c>
      <c r="Q99" s="172">
        <v>46199</v>
      </c>
      <c r="R99" s="77">
        <v>46382</v>
      </c>
      <c r="S99" s="176">
        <v>46148</v>
      </c>
      <c r="T99" s="78">
        <v>46196</v>
      </c>
      <c r="U99" s="78">
        <v>46196</v>
      </c>
      <c r="V99" s="87" t="s">
        <v>394</v>
      </c>
      <c r="W99" s="87" t="s">
        <v>395</v>
      </c>
      <c r="X99" s="80" t="s">
        <v>41</v>
      </c>
      <c r="Y99" s="76" t="s">
        <v>32</v>
      </c>
      <c r="Z99" s="68"/>
      <c r="AA99" s="70" t="s">
        <v>43</v>
      </c>
      <c r="AB99" s="73" t="e">
        <f>+VLOOKUP(A99,'[1]VALID RIM NUEVAM'!A$1:N$65536,14,0)</f>
        <v>#N/A</v>
      </c>
      <c r="AC99" s="70" t="s">
        <v>43</v>
      </c>
      <c r="AD99" s="70"/>
      <c r="AE99" s="70"/>
    </row>
    <row r="100" spans="1:31" ht="409.5">
      <c r="A100" s="68" t="str">
        <f t="shared" si="1"/>
        <v>XA009228751ANHUI CHARDON ELECTRIC LIMITED</v>
      </c>
      <c r="B100" s="88" t="s">
        <v>396</v>
      </c>
      <c r="C100" s="89" t="s">
        <v>397</v>
      </c>
      <c r="D100" s="68">
        <v>8540000000</v>
      </c>
      <c r="E100" s="68" t="s">
        <v>32</v>
      </c>
      <c r="F100" s="70" t="s">
        <v>389</v>
      </c>
      <c r="G100" s="71" t="s">
        <v>390</v>
      </c>
      <c r="H100" s="70" t="s">
        <v>391</v>
      </c>
      <c r="I100" s="70" t="s">
        <v>240</v>
      </c>
      <c r="J100" s="90" t="s">
        <v>339</v>
      </c>
      <c r="K100" s="91" t="s">
        <v>36</v>
      </c>
      <c r="L100" s="88" t="s">
        <v>305</v>
      </c>
      <c r="M100" s="88" t="s">
        <v>38</v>
      </c>
      <c r="N100" s="92">
        <v>2645802</v>
      </c>
      <c r="O100" s="75" t="s">
        <v>392</v>
      </c>
      <c r="P100" s="76" t="s">
        <v>393</v>
      </c>
      <c r="Q100" s="172">
        <v>46199</v>
      </c>
      <c r="R100" s="77">
        <v>46382</v>
      </c>
      <c r="S100" s="176">
        <v>46148</v>
      </c>
      <c r="T100" s="78">
        <v>46196</v>
      </c>
      <c r="U100" s="78">
        <v>46196</v>
      </c>
      <c r="V100" s="87" t="s">
        <v>394</v>
      </c>
      <c r="W100" s="87" t="s">
        <v>395</v>
      </c>
      <c r="X100" s="80" t="s">
        <v>41</v>
      </c>
      <c r="Y100" s="76" t="s">
        <v>32</v>
      </c>
      <c r="Z100" s="68"/>
      <c r="AA100" s="70" t="s">
        <v>43</v>
      </c>
      <c r="AB100" s="73" t="e">
        <f>+VLOOKUP(A100,'[1]VALID RIM NUEVAM'!A$1:N$65536,14,0)</f>
        <v>#N/A</v>
      </c>
      <c r="AC100" s="70" t="s">
        <v>41</v>
      </c>
      <c r="AD100" s="70"/>
      <c r="AE100" s="70"/>
    </row>
    <row r="101" spans="1:31" ht="409.5">
      <c r="A101" s="68" t="str">
        <f t="shared" si="1"/>
        <v>XA009229502ANHUI CHARDON ELECTRIC LIMITED</v>
      </c>
      <c r="B101" s="88" t="s">
        <v>398</v>
      </c>
      <c r="C101" s="89" t="s">
        <v>399</v>
      </c>
      <c r="D101" s="68">
        <v>8540000000</v>
      </c>
      <c r="E101" s="68" t="s">
        <v>32</v>
      </c>
      <c r="F101" s="70" t="s">
        <v>389</v>
      </c>
      <c r="G101" s="71" t="s">
        <v>390</v>
      </c>
      <c r="H101" s="70" t="s">
        <v>391</v>
      </c>
      <c r="I101" s="70" t="s">
        <v>240</v>
      </c>
      <c r="J101" s="90" t="s">
        <v>400</v>
      </c>
      <c r="K101" s="91" t="s">
        <v>36</v>
      </c>
      <c r="L101" s="88" t="s">
        <v>305</v>
      </c>
      <c r="M101" s="88" t="s">
        <v>38</v>
      </c>
      <c r="N101" s="92">
        <v>2645802</v>
      </c>
      <c r="O101" s="75" t="s">
        <v>392</v>
      </c>
      <c r="P101" s="76" t="s">
        <v>393</v>
      </c>
      <c r="Q101" s="172">
        <v>46199</v>
      </c>
      <c r="R101" s="77">
        <v>46382</v>
      </c>
      <c r="S101" s="176">
        <v>46148</v>
      </c>
      <c r="T101" s="78">
        <v>46196</v>
      </c>
      <c r="U101" s="78">
        <v>46196</v>
      </c>
      <c r="V101" s="87" t="s">
        <v>394</v>
      </c>
      <c r="W101" s="87" t="s">
        <v>395</v>
      </c>
      <c r="X101" s="80" t="s">
        <v>41</v>
      </c>
      <c r="Y101" s="76" t="s">
        <v>32</v>
      </c>
      <c r="Z101" s="68"/>
      <c r="AA101" s="70" t="s">
        <v>43</v>
      </c>
      <c r="AB101" s="73" t="e">
        <f>+VLOOKUP(A101,'[1]VALID RIM NUEVAM'!A$1:N$65536,14,0)</f>
        <v>#N/A</v>
      </c>
      <c r="AC101" s="70" t="s">
        <v>41</v>
      </c>
      <c r="AD101" s="70"/>
      <c r="AE101" s="70"/>
    </row>
    <row r="102" spans="1:31" ht="409.5">
      <c r="A102" s="68" t="str">
        <f t="shared" si="1"/>
        <v>XA009229601ANHUI CHARDON ELECTRIC LIMITED</v>
      </c>
      <c r="B102" s="88" t="s">
        <v>401</v>
      </c>
      <c r="C102" s="89" t="s">
        <v>402</v>
      </c>
      <c r="D102" s="68">
        <v>8540000000</v>
      </c>
      <c r="E102" s="68" t="s">
        <v>32</v>
      </c>
      <c r="F102" s="70" t="s">
        <v>389</v>
      </c>
      <c r="G102" s="71" t="s">
        <v>390</v>
      </c>
      <c r="H102" s="70" t="s">
        <v>391</v>
      </c>
      <c r="I102" s="70" t="s">
        <v>240</v>
      </c>
      <c r="J102" s="90" t="s">
        <v>403</v>
      </c>
      <c r="K102" s="91" t="s">
        <v>36</v>
      </c>
      <c r="L102" s="88" t="s">
        <v>305</v>
      </c>
      <c r="M102" s="88" t="s">
        <v>38</v>
      </c>
      <c r="N102" s="92">
        <v>2645802</v>
      </c>
      <c r="O102" s="75" t="s">
        <v>392</v>
      </c>
      <c r="P102" s="76" t="s">
        <v>393</v>
      </c>
      <c r="Q102" s="172">
        <v>46199</v>
      </c>
      <c r="R102" s="77">
        <v>46382</v>
      </c>
      <c r="S102" s="176">
        <v>46148</v>
      </c>
      <c r="T102" s="78">
        <v>46196</v>
      </c>
      <c r="U102" s="78">
        <v>46196</v>
      </c>
      <c r="V102" s="87" t="s">
        <v>394</v>
      </c>
      <c r="W102" s="87" t="s">
        <v>395</v>
      </c>
      <c r="X102" s="80" t="s">
        <v>41</v>
      </c>
      <c r="Y102" s="76" t="s">
        <v>32</v>
      </c>
      <c r="Z102" s="68"/>
      <c r="AA102" s="70" t="s">
        <v>43</v>
      </c>
      <c r="AB102" s="73" t="e">
        <f>+VLOOKUP(A102,'[1]VALID RIM NUEVAM'!A$1:N$65536,14,0)</f>
        <v>#N/A</v>
      </c>
      <c r="AC102" s="70" t="s">
        <v>41</v>
      </c>
      <c r="AD102" s="70"/>
      <c r="AE102" s="70"/>
    </row>
    <row r="103" spans="1:31" ht="30">
      <c r="A103" s="68" t="str">
        <f t="shared" si="1"/>
        <v>UU0089327493M EMEA GMBH</v>
      </c>
      <c r="B103" s="69" t="s">
        <v>404</v>
      </c>
      <c r="C103" s="68" t="s">
        <v>405</v>
      </c>
      <c r="D103" s="68">
        <v>3005101000</v>
      </c>
      <c r="E103" s="68">
        <v>20147081</v>
      </c>
      <c r="F103" s="70" t="s">
        <v>406</v>
      </c>
      <c r="G103" s="71">
        <v>46931</v>
      </c>
      <c r="H103" s="93" t="s">
        <v>45</v>
      </c>
      <c r="I103" s="70" t="s">
        <v>84</v>
      </c>
      <c r="J103" s="94" t="s">
        <v>407</v>
      </c>
      <c r="K103" s="94" t="s">
        <v>36</v>
      </c>
      <c r="L103" s="95" t="s">
        <v>408</v>
      </c>
      <c r="M103" s="95" t="s">
        <v>409</v>
      </c>
      <c r="N103" s="92">
        <v>2662352</v>
      </c>
      <c r="O103" s="75" t="s">
        <v>410</v>
      </c>
      <c r="P103" s="76" t="s">
        <v>411</v>
      </c>
      <c r="Q103" s="172">
        <v>46204</v>
      </c>
      <c r="R103" s="77">
        <v>46388</v>
      </c>
      <c r="S103" s="176">
        <v>46191</v>
      </c>
      <c r="T103" s="78">
        <v>46196</v>
      </c>
      <c r="U103" s="78">
        <v>46196</v>
      </c>
      <c r="V103" s="79" t="s">
        <v>41</v>
      </c>
      <c r="W103" s="79" t="s">
        <v>32</v>
      </c>
      <c r="X103" s="80" t="s">
        <v>41</v>
      </c>
      <c r="Y103" s="76" t="s">
        <v>32</v>
      </c>
      <c r="Z103" s="68"/>
      <c r="AA103" s="70" t="s">
        <v>43</v>
      </c>
      <c r="AB103" s="95" t="e">
        <f>+VLOOKUP(A103,'[1]VALID RIM NUEVAM'!A$1:O$65536,15,0)</f>
        <v>#N/A</v>
      </c>
      <c r="AC103" s="70" t="s">
        <v>43</v>
      </c>
      <c r="AD103" s="70" t="e">
        <v>#N/A</v>
      </c>
      <c r="AE103" s="70" t="s">
        <v>412</v>
      </c>
    </row>
    <row r="104" spans="1:31" ht="30">
      <c r="A104" s="68" t="str">
        <f t="shared" si="1"/>
        <v>UU0089327563M EMEA GMBH</v>
      </c>
      <c r="B104" s="69" t="s">
        <v>413</v>
      </c>
      <c r="C104" s="68" t="s">
        <v>414</v>
      </c>
      <c r="D104" s="68">
        <v>3005101000</v>
      </c>
      <c r="E104" s="68">
        <v>20147081</v>
      </c>
      <c r="F104" s="70" t="s">
        <v>406</v>
      </c>
      <c r="G104" s="71">
        <v>46931</v>
      </c>
      <c r="H104" s="93" t="s">
        <v>45</v>
      </c>
      <c r="I104" s="70" t="s">
        <v>84</v>
      </c>
      <c r="J104" s="72" t="s">
        <v>415</v>
      </c>
      <c r="K104" s="72" t="s">
        <v>36</v>
      </c>
      <c r="L104" s="73" t="s">
        <v>408</v>
      </c>
      <c r="M104" s="73" t="s">
        <v>409</v>
      </c>
      <c r="N104" s="92">
        <v>2662352</v>
      </c>
      <c r="O104" s="75" t="s">
        <v>410</v>
      </c>
      <c r="P104" s="76" t="s">
        <v>411</v>
      </c>
      <c r="Q104" s="172">
        <v>46204</v>
      </c>
      <c r="R104" s="77">
        <v>46388</v>
      </c>
      <c r="S104" s="176">
        <v>46191</v>
      </c>
      <c r="T104" s="78">
        <v>46196</v>
      </c>
      <c r="U104" s="78">
        <v>46196</v>
      </c>
      <c r="V104" s="79" t="s">
        <v>41</v>
      </c>
      <c r="W104" s="79" t="s">
        <v>32</v>
      </c>
      <c r="X104" s="80" t="s">
        <v>41</v>
      </c>
      <c r="Y104" s="76" t="s">
        <v>32</v>
      </c>
      <c r="Z104" s="68"/>
      <c r="AA104" s="70" t="s">
        <v>43</v>
      </c>
      <c r="AB104" s="73" t="e">
        <f>+VLOOKUP(A104,'[1]VALID RIM NUEVAM'!A$1:O$65536,15,0)</f>
        <v>#N/A</v>
      </c>
      <c r="AC104" s="70" t="s">
        <v>43</v>
      </c>
      <c r="AD104" s="70" t="e">
        <v>#N/A</v>
      </c>
      <c r="AE104" s="70" t="s">
        <v>416</v>
      </c>
    </row>
    <row r="105" spans="1:31" ht="30">
      <c r="A105" s="68" t="str">
        <f t="shared" si="1"/>
        <v>UU0089327643M EMEA GMBH</v>
      </c>
      <c r="B105" s="69" t="s">
        <v>417</v>
      </c>
      <c r="C105" s="68" t="s">
        <v>418</v>
      </c>
      <c r="D105" s="68">
        <v>3005101000</v>
      </c>
      <c r="E105" s="68">
        <v>20147081</v>
      </c>
      <c r="F105" s="70" t="s">
        <v>406</v>
      </c>
      <c r="G105" s="71">
        <v>46931</v>
      </c>
      <c r="H105" s="93" t="s">
        <v>45</v>
      </c>
      <c r="I105" s="70" t="s">
        <v>84</v>
      </c>
      <c r="J105" s="72">
        <v>1.36</v>
      </c>
      <c r="K105" s="72" t="s">
        <v>36</v>
      </c>
      <c r="L105" s="73" t="s">
        <v>419</v>
      </c>
      <c r="M105" s="73" t="s">
        <v>409</v>
      </c>
      <c r="N105" s="92">
        <v>2662352</v>
      </c>
      <c r="O105" s="75" t="s">
        <v>410</v>
      </c>
      <c r="P105" s="76" t="s">
        <v>411</v>
      </c>
      <c r="Q105" s="172">
        <v>46204</v>
      </c>
      <c r="R105" s="77">
        <v>46388</v>
      </c>
      <c r="S105" s="176">
        <v>46191</v>
      </c>
      <c r="T105" s="78">
        <v>46196</v>
      </c>
      <c r="U105" s="78">
        <v>46196</v>
      </c>
      <c r="V105" s="79" t="s">
        <v>41</v>
      </c>
      <c r="W105" s="79" t="s">
        <v>32</v>
      </c>
      <c r="X105" s="80" t="s">
        <v>41</v>
      </c>
      <c r="Y105" s="76" t="s">
        <v>32</v>
      </c>
      <c r="Z105" s="96" t="s">
        <v>420</v>
      </c>
      <c r="AA105" s="87" t="s">
        <v>43</v>
      </c>
      <c r="AB105" s="73" t="e">
        <f>+VLOOKUP(A105,'[1]VALID RIM NUEVAM'!A$1:O$65536,15,0)</f>
        <v>#N/A</v>
      </c>
      <c r="AC105" s="70" t="s">
        <v>43</v>
      </c>
      <c r="AD105" s="70" t="e">
        <v>#N/A</v>
      </c>
      <c r="AE105" s="70" t="e">
        <v>#N/A</v>
      </c>
    </row>
    <row r="106" spans="1:31" ht="45">
      <c r="A106" s="68" t="str">
        <f t="shared" si="1"/>
        <v>UU0113306753M EMEA GMBH</v>
      </c>
      <c r="B106" s="69" t="s">
        <v>421</v>
      </c>
      <c r="C106" s="68" t="s">
        <v>422</v>
      </c>
      <c r="D106" s="68">
        <v>3005101000</v>
      </c>
      <c r="E106" s="68">
        <v>20147081</v>
      </c>
      <c r="F106" s="70" t="s">
        <v>406</v>
      </c>
      <c r="G106" s="71">
        <v>46900</v>
      </c>
      <c r="H106" s="70" t="s">
        <v>45</v>
      </c>
      <c r="I106" s="70" t="s">
        <v>84</v>
      </c>
      <c r="J106" s="72" t="s">
        <v>423</v>
      </c>
      <c r="K106" s="72" t="s">
        <v>36</v>
      </c>
      <c r="L106" s="73" t="s">
        <v>408</v>
      </c>
      <c r="M106" s="73" t="s">
        <v>424</v>
      </c>
      <c r="N106" s="92">
        <v>2662352</v>
      </c>
      <c r="O106" s="75" t="s">
        <v>410</v>
      </c>
      <c r="P106" s="76" t="s">
        <v>411</v>
      </c>
      <c r="Q106" s="172">
        <v>46204</v>
      </c>
      <c r="R106" s="77">
        <v>46388</v>
      </c>
      <c r="S106" s="176">
        <v>46191</v>
      </c>
      <c r="T106" s="78">
        <v>46196</v>
      </c>
      <c r="U106" s="78">
        <v>46196</v>
      </c>
      <c r="V106" s="79" t="s">
        <v>41</v>
      </c>
      <c r="W106" s="79" t="s">
        <v>32</v>
      </c>
      <c r="X106" s="80" t="s">
        <v>41</v>
      </c>
      <c r="Y106" s="76" t="s">
        <v>32</v>
      </c>
      <c r="Z106" s="68" t="s">
        <v>425</v>
      </c>
      <c r="AA106" s="70" t="s">
        <v>43</v>
      </c>
      <c r="AB106" s="73" t="e">
        <f>+VLOOKUP(A106,'[1]VALID RIM NUEVAM'!A$1:O$65536,15,0)</f>
        <v>#N/A</v>
      </c>
      <c r="AC106" s="70" t="s">
        <v>43</v>
      </c>
      <c r="AD106" s="70" t="e">
        <v>#N/A</v>
      </c>
      <c r="AE106" s="70" t="s">
        <v>426</v>
      </c>
    </row>
    <row r="107" spans="1:31" ht="45">
      <c r="A107" s="68" t="str">
        <f t="shared" si="1"/>
        <v>UU0113306673M EMEA GMBH</v>
      </c>
      <c r="B107" s="69" t="s">
        <v>427</v>
      </c>
      <c r="C107" s="68" t="s">
        <v>428</v>
      </c>
      <c r="D107" s="68">
        <v>3005101000</v>
      </c>
      <c r="E107" s="68">
        <v>20147081</v>
      </c>
      <c r="F107" s="70" t="s">
        <v>406</v>
      </c>
      <c r="G107" s="71">
        <v>46900</v>
      </c>
      <c r="H107" s="70" t="s">
        <v>45</v>
      </c>
      <c r="I107" s="70" t="s">
        <v>84</v>
      </c>
      <c r="J107" s="72" t="s">
        <v>429</v>
      </c>
      <c r="K107" s="72" t="s">
        <v>36</v>
      </c>
      <c r="L107" s="73" t="s">
        <v>408</v>
      </c>
      <c r="M107" s="73" t="s">
        <v>424</v>
      </c>
      <c r="N107" s="92">
        <v>2662352</v>
      </c>
      <c r="O107" s="75" t="s">
        <v>410</v>
      </c>
      <c r="P107" s="76" t="s">
        <v>411</v>
      </c>
      <c r="Q107" s="172">
        <v>46204</v>
      </c>
      <c r="R107" s="77">
        <v>46388</v>
      </c>
      <c r="S107" s="176">
        <v>46191</v>
      </c>
      <c r="T107" s="78">
        <v>46196</v>
      </c>
      <c r="U107" s="78">
        <v>46196</v>
      </c>
      <c r="V107" s="79" t="s">
        <v>41</v>
      </c>
      <c r="W107" s="79" t="s">
        <v>32</v>
      </c>
      <c r="X107" s="80" t="s">
        <v>41</v>
      </c>
      <c r="Y107" s="76" t="s">
        <v>32</v>
      </c>
      <c r="Z107" s="68" t="s">
        <v>425</v>
      </c>
      <c r="AA107" s="70" t="s">
        <v>43</v>
      </c>
      <c r="AB107" s="73" t="e">
        <f>+VLOOKUP(A107,'[1]VALID RIM NUEVAM'!A$1:O$65536,15,0)</f>
        <v>#N/A</v>
      </c>
      <c r="AC107" s="70" t="s">
        <v>43</v>
      </c>
      <c r="AD107" s="70" t="e">
        <v>#N/A</v>
      </c>
      <c r="AE107" s="70" t="s">
        <v>426</v>
      </c>
    </row>
    <row r="108" spans="1:31" ht="60">
      <c r="A108" s="68" t="str">
        <f t="shared" si="1"/>
        <v>700716834063M COMPANY</v>
      </c>
      <c r="B108" s="69">
        <v>70071683406</v>
      </c>
      <c r="C108" s="68" t="s">
        <v>32</v>
      </c>
      <c r="D108" s="68">
        <v>3402500000</v>
      </c>
      <c r="E108" s="68" t="s">
        <v>32</v>
      </c>
      <c r="F108" s="70" t="s">
        <v>430</v>
      </c>
      <c r="G108" s="71" t="s">
        <v>32</v>
      </c>
      <c r="H108" s="70" t="s">
        <v>108</v>
      </c>
      <c r="I108" s="70" t="s">
        <v>35</v>
      </c>
      <c r="J108" s="72">
        <v>59.65</v>
      </c>
      <c r="K108" s="72" t="s">
        <v>36</v>
      </c>
      <c r="L108" s="73" t="s">
        <v>37</v>
      </c>
      <c r="M108" s="73" t="s">
        <v>431</v>
      </c>
      <c r="N108" s="74">
        <v>2657481</v>
      </c>
      <c r="O108" s="75" t="s">
        <v>432</v>
      </c>
      <c r="P108" s="76" t="s">
        <v>433</v>
      </c>
      <c r="Q108" s="172">
        <v>46206</v>
      </c>
      <c r="R108" s="77">
        <v>46390</v>
      </c>
      <c r="S108" s="176">
        <v>46177</v>
      </c>
      <c r="T108" s="78">
        <v>46205</v>
      </c>
      <c r="U108" s="78">
        <v>46205</v>
      </c>
      <c r="V108" s="79" t="s">
        <v>41</v>
      </c>
      <c r="W108" s="79" t="s">
        <v>32</v>
      </c>
      <c r="X108" s="80" t="s">
        <v>41</v>
      </c>
      <c r="Y108" s="76" t="s">
        <v>32</v>
      </c>
      <c r="Z108" s="68" t="s">
        <v>434</v>
      </c>
      <c r="AA108" s="70" t="s">
        <v>43</v>
      </c>
      <c r="AB108" s="73" t="e">
        <f>+VLOOKUP(A108,'[1]VALID RIM NUEVAM'!A$1:O$65536,15,0)</f>
        <v>#N/A</v>
      </c>
      <c r="AC108" s="70"/>
      <c r="AD108" s="70"/>
      <c r="AE108" s="70"/>
    </row>
    <row r="109" spans="1:31" ht="45">
      <c r="A109" s="6" t="str">
        <f t="shared" si="1"/>
        <v>78810008769SIAT S.P.A</v>
      </c>
      <c r="B109" s="7">
        <v>78810008769</v>
      </c>
      <c r="C109" s="6" t="s">
        <v>32</v>
      </c>
      <c r="D109" s="6">
        <v>8422900000</v>
      </c>
      <c r="E109" s="6" t="s">
        <v>32</v>
      </c>
      <c r="F109" s="8" t="s">
        <v>435</v>
      </c>
      <c r="G109" s="9" t="s">
        <v>32</v>
      </c>
      <c r="H109" s="8" t="s">
        <v>170</v>
      </c>
      <c r="I109" s="8" t="s">
        <v>123</v>
      </c>
      <c r="J109" s="10">
        <v>24.06</v>
      </c>
      <c r="K109" s="10" t="s">
        <v>124</v>
      </c>
      <c r="L109" s="11" t="s">
        <v>125</v>
      </c>
      <c r="M109" s="11" t="s">
        <v>38</v>
      </c>
      <c r="N109" s="12">
        <v>2666637</v>
      </c>
      <c r="O109" s="13" t="s">
        <v>436</v>
      </c>
      <c r="P109" s="14" t="s">
        <v>437</v>
      </c>
      <c r="Q109" s="172">
        <v>46212</v>
      </c>
      <c r="R109" s="77">
        <v>46396</v>
      </c>
      <c r="S109" s="176">
        <v>46203</v>
      </c>
      <c r="T109" s="16">
        <v>46211</v>
      </c>
      <c r="U109" s="16">
        <v>46211</v>
      </c>
      <c r="V109" s="17" t="s">
        <v>41</v>
      </c>
      <c r="W109" s="17" t="s">
        <v>32</v>
      </c>
      <c r="X109" s="18" t="s">
        <v>41</v>
      </c>
      <c r="Y109" s="14" t="s">
        <v>32</v>
      </c>
      <c r="Z109" s="6" t="s">
        <v>173</v>
      </c>
      <c r="AA109" s="8" t="s">
        <v>43</v>
      </c>
      <c r="AB109" s="11" t="e">
        <f>+VLOOKUP(A109,'[1]VALID RIM NUEVAM'!A$1:O$65536,15,0)</f>
        <v>#N/A</v>
      </c>
      <c r="AC109" s="8"/>
      <c r="AD109" s="8"/>
      <c r="AE109" s="8"/>
    </row>
    <row r="110" spans="1:31" ht="45">
      <c r="A110" s="6" t="str">
        <f t="shared" si="1"/>
        <v>78810011300SIAT S.P.A</v>
      </c>
      <c r="B110" s="7">
        <v>78810011300</v>
      </c>
      <c r="C110" s="6" t="s">
        <v>32</v>
      </c>
      <c r="D110" s="6">
        <v>8422900000</v>
      </c>
      <c r="E110" s="6" t="s">
        <v>32</v>
      </c>
      <c r="F110" s="8" t="s">
        <v>435</v>
      </c>
      <c r="G110" s="9" t="s">
        <v>32</v>
      </c>
      <c r="H110" s="8" t="s">
        <v>170</v>
      </c>
      <c r="I110" s="8" t="s">
        <v>123</v>
      </c>
      <c r="J110" s="10">
        <v>6.99</v>
      </c>
      <c r="K110" s="10" t="s">
        <v>124</v>
      </c>
      <c r="L110" s="11" t="s">
        <v>125</v>
      </c>
      <c r="M110" s="11" t="s">
        <v>38</v>
      </c>
      <c r="N110" s="12">
        <v>2666637</v>
      </c>
      <c r="O110" s="13" t="s">
        <v>436</v>
      </c>
      <c r="P110" s="14" t="s">
        <v>437</v>
      </c>
      <c r="Q110" s="172">
        <v>46212</v>
      </c>
      <c r="R110" s="77">
        <v>46396</v>
      </c>
      <c r="S110" s="176">
        <v>46203</v>
      </c>
      <c r="T110" s="16">
        <v>46211</v>
      </c>
      <c r="U110" s="16">
        <v>46211</v>
      </c>
      <c r="V110" s="17" t="s">
        <v>41</v>
      </c>
      <c r="W110" s="17" t="s">
        <v>32</v>
      </c>
      <c r="X110" s="18" t="s">
        <v>41</v>
      </c>
      <c r="Y110" s="14" t="s">
        <v>32</v>
      </c>
      <c r="Z110" s="6" t="s">
        <v>173</v>
      </c>
      <c r="AA110" s="8" t="s">
        <v>43</v>
      </c>
      <c r="AB110" s="11" t="e">
        <f>+VLOOKUP(A110,'[1]VALID RIM NUEVAM'!A$1:O$65536,15,0)</f>
        <v>#N/A</v>
      </c>
      <c r="AC110" s="8"/>
      <c r="AD110" s="8"/>
      <c r="AE110" s="8"/>
    </row>
    <row r="111" spans="1:31" ht="30">
      <c r="A111" s="68" t="str">
        <f t="shared" si="1"/>
        <v>UU012177927 3M TAIWAN LTD</v>
      </c>
      <c r="B111" s="69" t="s">
        <v>438</v>
      </c>
      <c r="C111" s="68" t="s">
        <v>439</v>
      </c>
      <c r="D111" s="68">
        <v>3005109000</v>
      </c>
      <c r="E111" s="68">
        <v>20325647</v>
      </c>
      <c r="F111" s="70" t="s">
        <v>359</v>
      </c>
      <c r="G111" s="71">
        <v>49740</v>
      </c>
      <c r="H111" s="70" t="s">
        <v>45</v>
      </c>
      <c r="I111" s="70" t="s">
        <v>440</v>
      </c>
      <c r="J111" s="72">
        <v>4.7431000000000001</v>
      </c>
      <c r="K111" s="72" t="s">
        <v>36</v>
      </c>
      <c r="L111" s="73" t="s">
        <v>441</v>
      </c>
      <c r="M111" s="73" t="s">
        <v>86</v>
      </c>
      <c r="N111" s="74">
        <v>2666639</v>
      </c>
      <c r="O111" s="75" t="s">
        <v>442</v>
      </c>
      <c r="P111" s="76" t="s">
        <v>443</v>
      </c>
      <c r="Q111" s="172">
        <v>46206</v>
      </c>
      <c r="R111" s="77">
        <v>46390</v>
      </c>
      <c r="S111" s="176">
        <v>46203</v>
      </c>
      <c r="T111" s="78">
        <v>46204</v>
      </c>
      <c r="U111" s="78">
        <v>46204</v>
      </c>
      <c r="V111" s="79" t="s">
        <v>41</v>
      </c>
      <c r="W111" s="79" t="s">
        <v>32</v>
      </c>
      <c r="X111" s="80" t="s">
        <v>41</v>
      </c>
      <c r="Y111" s="76" t="s">
        <v>32</v>
      </c>
      <c r="Z111" s="68"/>
      <c r="AA111" s="70" t="s">
        <v>43</v>
      </c>
      <c r="AB111" s="73" t="e">
        <f>+VLOOKUP(A111,'[1]VALID RIM NUEVAM'!A$1:O$65536,15,0)</f>
        <v>#N/A</v>
      </c>
      <c r="AC111" s="70"/>
      <c r="AD111" s="70"/>
      <c r="AE111" s="70"/>
    </row>
    <row r="112" spans="1:31" ht="30">
      <c r="A112" s="68" t="str">
        <f t="shared" si="1"/>
        <v>800120203603M COMPANY</v>
      </c>
      <c r="B112" s="69">
        <v>80012020360</v>
      </c>
      <c r="C112" s="68" t="s">
        <v>227</v>
      </c>
      <c r="D112" s="68">
        <v>7019650000</v>
      </c>
      <c r="E112" s="68" t="s">
        <v>32</v>
      </c>
      <c r="F112" s="70">
        <v>3534</v>
      </c>
      <c r="G112" s="84">
        <v>47744</v>
      </c>
      <c r="H112" s="70" t="s">
        <v>122</v>
      </c>
      <c r="I112" s="70" t="s">
        <v>35</v>
      </c>
      <c r="J112" s="72">
        <v>5.4055</v>
      </c>
      <c r="K112" s="72" t="s">
        <v>36</v>
      </c>
      <c r="L112" s="73" t="s">
        <v>37</v>
      </c>
      <c r="M112" s="73" t="s">
        <v>96</v>
      </c>
      <c r="N112" s="74">
        <v>2669581</v>
      </c>
      <c r="O112" s="75" t="s">
        <v>444</v>
      </c>
      <c r="P112" s="76" t="s">
        <v>445</v>
      </c>
      <c r="Q112" s="172">
        <v>46225</v>
      </c>
      <c r="R112" s="77">
        <v>46409</v>
      </c>
      <c r="S112" s="176">
        <v>46209</v>
      </c>
      <c r="T112" s="78">
        <v>46213</v>
      </c>
      <c r="U112" s="78">
        <v>46217</v>
      </c>
      <c r="V112" s="79" t="s">
        <v>41</v>
      </c>
      <c r="W112" s="79" t="s">
        <v>32</v>
      </c>
      <c r="X112" s="80" t="s">
        <v>41</v>
      </c>
      <c r="Y112" s="76" t="s">
        <v>32</v>
      </c>
      <c r="Z112" s="96"/>
      <c r="AA112" s="87" t="s">
        <v>43</v>
      </c>
      <c r="AB112" s="73" t="e">
        <f>+VLOOKUP(A112,'[1]VALID RIM NUEVAM'!A$1:O$65536,15,0)</f>
        <v>#N/A</v>
      </c>
      <c r="AC112" s="70" t="s">
        <v>43</v>
      </c>
      <c r="AD112" s="70"/>
      <c r="AE112" s="70"/>
    </row>
    <row r="113" spans="1:31" ht="30">
      <c r="A113" s="68" t="str">
        <f t="shared" si="1"/>
        <v>806109226603M COMPANY</v>
      </c>
      <c r="B113" s="69">
        <v>80610922660</v>
      </c>
      <c r="C113" s="68" t="s">
        <v>192</v>
      </c>
      <c r="D113" s="68">
        <v>8546909000</v>
      </c>
      <c r="E113" s="68" t="s">
        <v>32</v>
      </c>
      <c r="F113" s="70">
        <v>3745</v>
      </c>
      <c r="G113" s="84">
        <v>47855</v>
      </c>
      <c r="H113" s="70" t="s">
        <v>122</v>
      </c>
      <c r="I113" s="70" t="s">
        <v>35</v>
      </c>
      <c r="J113" s="72">
        <v>78.350350000000006</v>
      </c>
      <c r="K113" s="86" t="s">
        <v>36</v>
      </c>
      <c r="L113" s="73" t="s">
        <v>37</v>
      </c>
      <c r="M113" s="73" t="s">
        <v>38</v>
      </c>
      <c r="N113" s="74">
        <v>2669581</v>
      </c>
      <c r="O113" s="75" t="s">
        <v>444</v>
      </c>
      <c r="P113" s="76" t="s">
        <v>445</v>
      </c>
      <c r="Q113" s="172">
        <v>46225</v>
      </c>
      <c r="R113" s="77">
        <v>46409</v>
      </c>
      <c r="S113" s="176">
        <v>46209</v>
      </c>
      <c r="T113" s="78">
        <v>46213</v>
      </c>
      <c r="U113" s="78">
        <v>46217</v>
      </c>
      <c r="V113" s="79" t="s">
        <v>41</v>
      </c>
      <c r="W113" s="79" t="s">
        <v>32</v>
      </c>
      <c r="X113" s="80" t="s">
        <v>41</v>
      </c>
      <c r="Y113" s="76" t="s">
        <v>32</v>
      </c>
      <c r="Z113" s="96"/>
      <c r="AA113" s="87" t="s">
        <v>43</v>
      </c>
      <c r="AB113" s="73" t="e">
        <f>+VLOOKUP(A113,'[1]VALID RIM NUEVAM'!A$1:O$65536,15,0)</f>
        <v>#N/A</v>
      </c>
      <c r="AC113" s="70" t="s">
        <v>43</v>
      </c>
      <c r="AD113" s="70"/>
      <c r="AE113" s="70"/>
    </row>
    <row r="114" spans="1:31" ht="30">
      <c r="A114" s="68" t="str">
        <f t="shared" si="1"/>
        <v>788141692293M COMPANY</v>
      </c>
      <c r="B114" s="69">
        <v>78814169229</v>
      </c>
      <c r="C114" s="68" t="s">
        <v>196</v>
      </c>
      <c r="D114" s="68">
        <v>8546909000</v>
      </c>
      <c r="E114" s="68" t="s">
        <v>32</v>
      </c>
      <c r="F114" s="70">
        <v>3745</v>
      </c>
      <c r="G114" s="84">
        <v>47855</v>
      </c>
      <c r="H114" s="70" t="s">
        <v>122</v>
      </c>
      <c r="I114" s="70" t="s">
        <v>35</v>
      </c>
      <c r="J114" s="72">
        <v>30.005700000000001</v>
      </c>
      <c r="K114" s="86" t="s">
        <v>36</v>
      </c>
      <c r="L114" s="73" t="s">
        <v>37</v>
      </c>
      <c r="M114" s="73" t="s">
        <v>38</v>
      </c>
      <c r="N114" s="74">
        <v>2669581</v>
      </c>
      <c r="O114" s="75" t="s">
        <v>444</v>
      </c>
      <c r="P114" s="76" t="s">
        <v>445</v>
      </c>
      <c r="Q114" s="172">
        <v>46225</v>
      </c>
      <c r="R114" s="77">
        <v>46409</v>
      </c>
      <c r="S114" s="176">
        <v>46209</v>
      </c>
      <c r="T114" s="78">
        <v>46213</v>
      </c>
      <c r="U114" s="78">
        <v>46217</v>
      </c>
      <c r="V114" s="79" t="s">
        <v>41</v>
      </c>
      <c r="W114" s="79" t="s">
        <v>32</v>
      </c>
      <c r="X114" s="80" t="s">
        <v>41</v>
      </c>
      <c r="Y114" s="76" t="s">
        <v>32</v>
      </c>
      <c r="Z114" s="96"/>
      <c r="AA114" s="87" t="s">
        <v>43</v>
      </c>
      <c r="AB114" s="73" t="e">
        <f>+VLOOKUP(A114,'[1]VALID RIM NUEVAM'!A$1:O$65536,15,0)</f>
        <v>#N/A</v>
      </c>
      <c r="AC114" s="70" t="s">
        <v>43</v>
      </c>
      <c r="AD114" s="70"/>
      <c r="AE114" s="70"/>
    </row>
    <row r="115" spans="1:31" ht="30">
      <c r="A115" s="68" t="str">
        <f t="shared" si="1"/>
        <v>806114503643M COMPANY</v>
      </c>
      <c r="B115" s="69">
        <v>80611450364</v>
      </c>
      <c r="C115" s="68" t="s">
        <v>197</v>
      </c>
      <c r="D115" s="68">
        <v>8546909000</v>
      </c>
      <c r="E115" s="68" t="s">
        <v>32</v>
      </c>
      <c r="F115" s="70">
        <v>3745</v>
      </c>
      <c r="G115" s="84">
        <v>47855</v>
      </c>
      <c r="H115" s="70" t="s">
        <v>122</v>
      </c>
      <c r="I115" s="70" t="s">
        <v>35</v>
      </c>
      <c r="J115" s="72">
        <v>109.44</v>
      </c>
      <c r="K115" s="86" t="s">
        <v>36</v>
      </c>
      <c r="L115" s="73" t="s">
        <v>37</v>
      </c>
      <c r="M115" s="73" t="s">
        <v>38</v>
      </c>
      <c r="N115" s="74">
        <v>2669581</v>
      </c>
      <c r="O115" s="75" t="s">
        <v>444</v>
      </c>
      <c r="P115" s="76" t="s">
        <v>445</v>
      </c>
      <c r="Q115" s="172">
        <v>46225</v>
      </c>
      <c r="R115" s="77">
        <v>46409</v>
      </c>
      <c r="S115" s="176">
        <v>46209</v>
      </c>
      <c r="T115" s="78">
        <v>46213</v>
      </c>
      <c r="U115" s="78">
        <v>46217</v>
      </c>
      <c r="V115" s="79" t="s">
        <v>41</v>
      </c>
      <c r="W115" s="79" t="s">
        <v>32</v>
      </c>
      <c r="X115" s="80" t="s">
        <v>41</v>
      </c>
      <c r="Y115" s="76" t="s">
        <v>32</v>
      </c>
      <c r="Z115" s="96"/>
      <c r="AA115" s="87" t="s">
        <v>43</v>
      </c>
      <c r="AB115" s="73" t="e">
        <f>+VLOOKUP(A115,'[1]VALID RIM NUEVAM'!A$1:O$65536,15,0)</f>
        <v>#N/A</v>
      </c>
      <c r="AC115" s="70" t="s">
        <v>43</v>
      </c>
      <c r="AD115" s="70"/>
      <c r="AE115" s="70"/>
    </row>
    <row r="116" spans="1:31" ht="30">
      <c r="A116" s="68" t="str">
        <f t="shared" si="1"/>
        <v>806108397083M COMPANY</v>
      </c>
      <c r="B116" s="69">
        <v>80610839708</v>
      </c>
      <c r="C116" s="68" t="s">
        <v>230</v>
      </c>
      <c r="D116" s="68">
        <v>8546909000</v>
      </c>
      <c r="E116" s="68" t="s">
        <v>32</v>
      </c>
      <c r="F116" s="70">
        <v>3745</v>
      </c>
      <c r="G116" s="84">
        <v>47855</v>
      </c>
      <c r="H116" s="70" t="s">
        <v>122</v>
      </c>
      <c r="I116" s="70" t="s">
        <v>35</v>
      </c>
      <c r="J116" s="72">
        <v>67.27</v>
      </c>
      <c r="K116" s="72" t="s">
        <v>36</v>
      </c>
      <c r="L116" s="73" t="s">
        <v>37</v>
      </c>
      <c r="M116" s="73" t="s">
        <v>38</v>
      </c>
      <c r="N116" s="74">
        <v>2669581</v>
      </c>
      <c r="O116" s="75" t="s">
        <v>444</v>
      </c>
      <c r="P116" s="76" t="s">
        <v>445</v>
      </c>
      <c r="Q116" s="172">
        <v>46225</v>
      </c>
      <c r="R116" s="77">
        <v>46409</v>
      </c>
      <c r="S116" s="176">
        <v>46209</v>
      </c>
      <c r="T116" s="78">
        <v>46213</v>
      </c>
      <c r="U116" s="78">
        <v>46217</v>
      </c>
      <c r="V116" s="79" t="s">
        <v>41</v>
      </c>
      <c r="W116" s="79" t="s">
        <v>32</v>
      </c>
      <c r="X116" s="80" t="s">
        <v>41</v>
      </c>
      <c r="Y116" s="76" t="s">
        <v>32</v>
      </c>
      <c r="Z116" s="96"/>
      <c r="AA116" s="87" t="s">
        <v>43</v>
      </c>
      <c r="AB116" s="73" t="e">
        <f>+VLOOKUP(A116,'[1]VALID RIM NUEVAM'!A$1:O$65536,15,0)</f>
        <v>#N/A</v>
      </c>
      <c r="AC116" s="70" t="s">
        <v>43</v>
      </c>
      <c r="AD116" s="70"/>
      <c r="AE116" s="70"/>
    </row>
    <row r="117" spans="1:31" ht="30">
      <c r="A117" s="68" t="str">
        <f t="shared" si="1"/>
        <v>806114504483M COMPANY</v>
      </c>
      <c r="B117" s="69">
        <v>80611450448</v>
      </c>
      <c r="C117" s="68" t="s">
        <v>231</v>
      </c>
      <c r="D117" s="68">
        <v>8546909000</v>
      </c>
      <c r="E117" s="68" t="s">
        <v>32</v>
      </c>
      <c r="F117" s="70">
        <v>3745</v>
      </c>
      <c r="G117" s="84">
        <v>47855</v>
      </c>
      <c r="H117" s="70" t="s">
        <v>122</v>
      </c>
      <c r="I117" s="70" t="s">
        <v>35</v>
      </c>
      <c r="J117" s="72">
        <v>74.926670000000001</v>
      </c>
      <c r="K117" s="72" t="s">
        <v>36</v>
      </c>
      <c r="L117" s="73" t="s">
        <v>37</v>
      </c>
      <c r="M117" s="73" t="s">
        <v>232</v>
      </c>
      <c r="N117" s="74">
        <v>2669581</v>
      </c>
      <c r="O117" s="75" t="s">
        <v>444</v>
      </c>
      <c r="P117" s="76" t="s">
        <v>445</v>
      </c>
      <c r="Q117" s="172">
        <v>46225</v>
      </c>
      <c r="R117" s="77">
        <v>46409</v>
      </c>
      <c r="S117" s="176">
        <v>46209</v>
      </c>
      <c r="T117" s="78">
        <v>46213</v>
      </c>
      <c r="U117" s="78">
        <v>46217</v>
      </c>
      <c r="V117" s="79" t="s">
        <v>41</v>
      </c>
      <c r="W117" s="79" t="s">
        <v>32</v>
      </c>
      <c r="X117" s="80" t="s">
        <v>41</v>
      </c>
      <c r="Y117" s="76" t="s">
        <v>32</v>
      </c>
      <c r="Z117" s="96"/>
      <c r="AA117" s="87" t="s">
        <v>43</v>
      </c>
      <c r="AB117" s="73" t="e">
        <f>+VLOOKUP(A117,'[1]VALID RIM NUEVAM'!A$1:O$65536,15,0)</f>
        <v>#N/A</v>
      </c>
      <c r="AC117" s="70" t="s">
        <v>43</v>
      </c>
      <c r="AD117" s="70"/>
      <c r="AE117" s="70"/>
    </row>
    <row r="118" spans="1:31" ht="30">
      <c r="A118" s="68" t="str">
        <f t="shared" si="1"/>
        <v>788141692603M COMPANY</v>
      </c>
      <c r="B118" s="69">
        <v>78814169260</v>
      </c>
      <c r="C118" s="68" t="s">
        <v>446</v>
      </c>
      <c r="D118" s="68">
        <v>8546909000</v>
      </c>
      <c r="E118" s="68" t="s">
        <v>32</v>
      </c>
      <c r="F118" s="70">
        <v>3745</v>
      </c>
      <c r="G118" s="84">
        <v>47855</v>
      </c>
      <c r="H118" s="70" t="s">
        <v>122</v>
      </c>
      <c r="I118" s="70" t="s">
        <v>35</v>
      </c>
      <c r="J118" s="72">
        <v>40.553919999999998</v>
      </c>
      <c r="K118" s="72" t="s">
        <v>36</v>
      </c>
      <c r="L118" s="73" t="s">
        <v>37</v>
      </c>
      <c r="M118" s="73" t="s">
        <v>38</v>
      </c>
      <c r="N118" s="74">
        <v>2669581</v>
      </c>
      <c r="O118" s="75" t="s">
        <v>444</v>
      </c>
      <c r="P118" s="76" t="s">
        <v>445</v>
      </c>
      <c r="Q118" s="172">
        <v>46225</v>
      </c>
      <c r="R118" s="77">
        <v>46409</v>
      </c>
      <c r="S118" s="176">
        <v>46209</v>
      </c>
      <c r="T118" s="78">
        <v>46213</v>
      </c>
      <c r="U118" s="78">
        <v>46217</v>
      </c>
      <c r="V118" s="79" t="s">
        <v>41</v>
      </c>
      <c r="W118" s="79" t="s">
        <v>32</v>
      </c>
      <c r="X118" s="80" t="s">
        <v>41</v>
      </c>
      <c r="Y118" s="76" t="s">
        <v>32</v>
      </c>
      <c r="Z118" s="96"/>
      <c r="AA118" s="87" t="s">
        <v>43</v>
      </c>
      <c r="AB118" s="73" t="e">
        <f>+VLOOKUP(A118,'[1]VALID RIM NUEVAM'!A$1:O$65536,15,0)</f>
        <v>#N/A</v>
      </c>
      <c r="AC118" s="70"/>
      <c r="AD118" s="70"/>
      <c r="AE118" s="70"/>
    </row>
    <row r="119" spans="1:31" ht="30">
      <c r="A119" s="68" t="str">
        <f t="shared" si="1"/>
        <v>806105944103M COMPANY</v>
      </c>
      <c r="B119" s="69">
        <v>80610594410</v>
      </c>
      <c r="C119" s="68" t="s">
        <v>447</v>
      </c>
      <c r="D119" s="68">
        <v>3214101000</v>
      </c>
      <c r="E119" s="68" t="s">
        <v>32</v>
      </c>
      <c r="F119" s="70">
        <v>3535</v>
      </c>
      <c r="G119" s="84">
        <v>47744</v>
      </c>
      <c r="H119" s="70" t="s">
        <v>122</v>
      </c>
      <c r="I119" s="70" t="s">
        <v>35</v>
      </c>
      <c r="J119" s="72" t="s">
        <v>448</v>
      </c>
      <c r="K119" s="72" t="s">
        <v>36</v>
      </c>
      <c r="L119" s="73" t="s">
        <v>37</v>
      </c>
      <c r="M119" s="73" t="s">
        <v>46</v>
      </c>
      <c r="N119" s="74">
        <v>2669581</v>
      </c>
      <c r="O119" s="75" t="s">
        <v>444</v>
      </c>
      <c r="P119" s="76" t="s">
        <v>445</v>
      </c>
      <c r="Q119" s="172">
        <v>46225</v>
      </c>
      <c r="R119" s="77">
        <v>46409</v>
      </c>
      <c r="S119" s="176">
        <v>46209</v>
      </c>
      <c r="T119" s="78">
        <v>46213</v>
      </c>
      <c r="U119" s="78">
        <v>46217</v>
      </c>
      <c r="V119" s="79" t="s">
        <v>41</v>
      </c>
      <c r="W119" s="79" t="s">
        <v>32</v>
      </c>
      <c r="X119" s="80" t="s">
        <v>41</v>
      </c>
      <c r="Y119" s="76" t="s">
        <v>32</v>
      </c>
      <c r="Z119" s="96"/>
      <c r="AA119" s="87" t="s">
        <v>43</v>
      </c>
      <c r="AB119" s="73" t="e">
        <f>+VLOOKUP(A119,'[1]VALID RIM NUEVAM'!A$1:O$65536,15,0)</f>
        <v>#N/A</v>
      </c>
      <c r="AC119" s="70"/>
      <c r="AD119" s="70"/>
      <c r="AE119" s="70"/>
    </row>
    <row r="120" spans="1:31" ht="30">
      <c r="A120" s="68" t="str">
        <f t="shared" si="1"/>
        <v>806108334043M COMPANY</v>
      </c>
      <c r="B120" s="69">
        <v>80610833404</v>
      </c>
      <c r="C120" s="68" t="s">
        <v>449</v>
      </c>
      <c r="D120" s="68">
        <v>4005919000</v>
      </c>
      <c r="E120" s="68" t="s">
        <v>32</v>
      </c>
      <c r="F120" s="97">
        <v>3535</v>
      </c>
      <c r="G120" s="98">
        <v>47744</v>
      </c>
      <c r="H120" s="70" t="s">
        <v>122</v>
      </c>
      <c r="I120" s="70" t="s">
        <v>35</v>
      </c>
      <c r="J120" s="97" t="s">
        <v>450</v>
      </c>
      <c r="K120" s="97" t="s">
        <v>36</v>
      </c>
      <c r="L120" s="73" t="s">
        <v>37</v>
      </c>
      <c r="M120" s="68" t="s">
        <v>96</v>
      </c>
      <c r="N120" s="74">
        <v>2669581</v>
      </c>
      <c r="O120" s="75" t="s">
        <v>444</v>
      </c>
      <c r="P120" s="76" t="s">
        <v>445</v>
      </c>
      <c r="Q120" s="172">
        <v>46225</v>
      </c>
      <c r="R120" s="77">
        <v>46409</v>
      </c>
      <c r="S120" s="176">
        <v>46209</v>
      </c>
      <c r="T120" s="78">
        <v>46213</v>
      </c>
      <c r="U120" s="78">
        <v>46217</v>
      </c>
      <c r="V120" s="79" t="s">
        <v>41</v>
      </c>
      <c r="W120" s="79" t="s">
        <v>32</v>
      </c>
      <c r="X120" s="80" t="s">
        <v>41</v>
      </c>
      <c r="Y120" s="76" t="s">
        <v>32</v>
      </c>
      <c r="Z120" s="96"/>
      <c r="AA120" s="87" t="s">
        <v>43</v>
      </c>
      <c r="AB120" s="68" t="e">
        <f>+VLOOKUP(A120,'[1]VALID RIM NUEVAM'!A$1:O$65536,15,0)</f>
        <v>#N/A</v>
      </c>
      <c r="AC120" s="70"/>
      <c r="AD120" s="70"/>
      <c r="AE120" s="70"/>
    </row>
    <row r="121" spans="1:31" ht="30">
      <c r="A121" s="68" t="str">
        <f t="shared" si="1"/>
        <v>806108334203M COMPANY</v>
      </c>
      <c r="B121" s="69">
        <v>80610833420</v>
      </c>
      <c r="C121" s="68" t="s">
        <v>451</v>
      </c>
      <c r="D121" s="68">
        <v>5907000000</v>
      </c>
      <c r="E121" s="68" t="s">
        <v>32</v>
      </c>
      <c r="F121" s="97">
        <v>3536</v>
      </c>
      <c r="G121" s="98">
        <v>47744</v>
      </c>
      <c r="H121" s="70" t="s">
        <v>122</v>
      </c>
      <c r="I121" s="70" t="s">
        <v>35</v>
      </c>
      <c r="J121" s="97" t="s">
        <v>452</v>
      </c>
      <c r="K121" s="97" t="s">
        <v>36</v>
      </c>
      <c r="L121" s="73" t="s">
        <v>37</v>
      </c>
      <c r="M121" s="68" t="s">
        <v>96</v>
      </c>
      <c r="N121" s="74">
        <v>2669581</v>
      </c>
      <c r="O121" s="75" t="s">
        <v>444</v>
      </c>
      <c r="P121" s="76" t="s">
        <v>445</v>
      </c>
      <c r="Q121" s="172">
        <v>46225</v>
      </c>
      <c r="R121" s="77">
        <v>46409</v>
      </c>
      <c r="S121" s="176">
        <v>46209</v>
      </c>
      <c r="T121" s="78">
        <v>46213</v>
      </c>
      <c r="U121" s="78">
        <v>46217</v>
      </c>
      <c r="V121" s="79" t="s">
        <v>41</v>
      </c>
      <c r="W121" s="79" t="s">
        <v>32</v>
      </c>
      <c r="X121" s="80" t="s">
        <v>41</v>
      </c>
      <c r="Y121" s="76" t="s">
        <v>32</v>
      </c>
      <c r="Z121" s="96"/>
      <c r="AA121" s="87" t="s">
        <v>43</v>
      </c>
      <c r="AB121" s="68" t="e">
        <f>+VLOOKUP(A121,'[1]VALID RIM NUEVAM'!A$1:O$65536,15,0)</f>
        <v>#N/A</v>
      </c>
      <c r="AC121" s="70"/>
      <c r="AD121" s="70"/>
      <c r="AE121" s="70"/>
    </row>
    <row r="122" spans="1:31" ht="30">
      <c r="A122" s="68" t="str">
        <f t="shared" ref="A122:A132" si="2">+B122&amp;I122</f>
        <v>806108338003M COMPANY</v>
      </c>
      <c r="B122" s="69">
        <v>80610833800</v>
      </c>
      <c r="C122" s="68" t="s">
        <v>374</v>
      </c>
      <c r="D122" s="68">
        <v>3919100000</v>
      </c>
      <c r="E122" s="68" t="s">
        <v>32</v>
      </c>
      <c r="F122" s="97">
        <v>3536</v>
      </c>
      <c r="G122" s="98">
        <v>47744</v>
      </c>
      <c r="H122" s="70" t="s">
        <v>122</v>
      </c>
      <c r="I122" s="70" t="s">
        <v>35</v>
      </c>
      <c r="J122" s="97" t="s">
        <v>453</v>
      </c>
      <c r="K122" s="97" t="s">
        <v>36</v>
      </c>
      <c r="L122" s="73" t="s">
        <v>37</v>
      </c>
      <c r="M122" s="68" t="s">
        <v>96</v>
      </c>
      <c r="N122" s="74">
        <v>2669581</v>
      </c>
      <c r="O122" s="75" t="s">
        <v>444</v>
      </c>
      <c r="P122" s="76" t="s">
        <v>445</v>
      </c>
      <c r="Q122" s="172">
        <v>46225</v>
      </c>
      <c r="R122" s="77">
        <v>46409</v>
      </c>
      <c r="S122" s="176">
        <v>46209</v>
      </c>
      <c r="T122" s="78">
        <v>46213</v>
      </c>
      <c r="U122" s="78">
        <v>46217</v>
      </c>
      <c r="V122" s="79" t="s">
        <v>41</v>
      </c>
      <c r="W122" s="79" t="s">
        <v>32</v>
      </c>
      <c r="X122" s="80" t="s">
        <v>41</v>
      </c>
      <c r="Y122" s="76" t="s">
        <v>32</v>
      </c>
      <c r="Z122" s="96"/>
      <c r="AA122" s="87" t="s">
        <v>43</v>
      </c>
      <c r="AB122" s="68" t="e">
        <f>+VLOOKUP(A122,'[1]VALID RIM NUEVAM'!A$1:O$65536,15,0)</f>
        <v>#N/A</v>
      </c>
      <c r="AC122" s="70"/>
      <c r="AD122" s="70"/>
      <c r="AE122" s="70"/>
    </row>
    <row r="123" spans="1:31" ht="30">
      <c r="A123" s="68" t="str">
        <f t="shared" si="2"/>
        <v>806108339093M COMPANY</v>
      </c>
      <c r="B123" s="69">
        <v>80610833909</v>
      </c>
      <c r="C123" s="68" t="s">
        <v>454</v>
      </c>
      <c r="D123" s="68">
        <v>3919100000</v>
      </c>
      <c r="E123" s="68" t="s">
        <v>32</v>
      </c>
      <c r="F123" s="97">
        <v>3536</v>
      </c>
      <c r="G123" s="98">
        <v>47744</v>
      </c>
      <c r="H123" s="70" t="s">
        <v>122</v>
      </c>
      <c r="I123" s="70" t="s">
        <v>35</v>
      </c>
      <c r="J123" s="97" t="s">
        <v>455</v>
      </c>
      <c r="K123" s="97" t="s">
        <v>36</v>
      </c>
      <c r="L123" s="73" t="s">
        <v>37</v>
      </c>
      <c r="M123" s="68" t="s">
        <v>96</v>
      </c>
      <c r="N123" s="74">
        <v>2669581</v>
      </c>
      <c r="O123" s="75" t="s">
        <v>444</v>
      </c>
      <c r="P123" s="76" t="s">
        <v>445</v>
      </c>
      <c r="Q123" s="172">
        <v>46225</v>
      </c>
      <c r="R123" s="77">
        <v>46409</v>
      </c>
      <c r="S123" s="176">
        <v>46209</v>
      </c>
      <c r="T123" s="78">
        <v>46213</v>
      </c>
      <c r="U123" s="78">
        <v>46217</v>
      </c>
      <c r="V123" s="79" t="s">
        <v>41</v>
      </c>
      <c r="W123" s="79" t="s">
        <v>32</v>
      </c>
      <c r="X123" s="80" t="s">
        <v>41</v>
      </c>
      <c r="Y123" s="76" t="s">
        <v>32</v>
      </c>
      <c r="Z123" s="96"/>
      <c r="AA123" s="87" t="s">
        <v>43</v>
      </c>
      <c r="AB123" s="68" t="e">
        <f>+VLOOKUP(A123,'[1]VALID RIM NUEVAM'!A$1:O$65536,15,0)</f>
        <v>#N/A</v>
      </c>
      <c r="AC123" s="70"/>
      <c r="AD123" s="70"/>
      <c r="AE123" s="70"/>
    </row>
    <row r="124" spans="1:31" ht="30">
      <c r="A124" s="68" t="str">
        <f t="shared" si="2"/>
        <v>806108339253M COMPANY</v>
      </c>
      <c r="B124" s="69">
        <v>80610833925</v>
      </c>
      <c r="C124" s="68" t="s">
        <v>456</v>
      </c>
      <c r="D124" s="68">
        <v>3919100000</v>
      </c>
      <c r="E124" s="68" t="s">
        <v>32</v>
      </c>
      <c r="F124" s="97">
        <v>3536</v>
      </c>
      <c r="G124" s="98">
        <v>47744</v>
      </c>
      <c r="H124" s="70" t="s">
        <v>122</v>
      </c>
      <c r="I124" s="70" t="s">
        <v>35</v>
      </c>
      <c r="J124" s="97" t="s">
        <v>457</v>
      </c>
      <c r="K124" s="97" t="s">
        <v>36</v>
      </c>
      <c r="L124" s="73" t="s">
        <v>37</v>
      </c>
      <c r="M124" s="68" t="s">
        <v>96</v>
      </c>
      <c r="N124" s="74">
        <v>2669581</v>
      </c>
      <c r="O124" s="75" t="s">
        <v>444</v>
      </c>
      <c r="P124" s="76" t="s">
        <v>445</v>
      </c>
      <c r="Q124" s="172">
        <v>46225</v>
      </c>
      <c r="R124" s="77">
        <v>46409</v>
      </c>
      <c r="S124" s="176">
        <v>46209</v>
      </c>
      <c r="T124" s="78">
        <v>46213</v>
      </c>
      <c r="U124" s="78">
        <v>46217</v>
      </c>
      <c r="V124" s="79" t="s">
        <v>41</v>
      </c>
      <c r="W124" s="79" t="s">
        <v>32</v>
      </c>
      <c r="X124" s="80" t="s">
        <v>41</v>
      </c>
      <c r="Y124" s="76" t="s">
        <v>32</v>
      </c>
      <c r="Z124" s="96"/>
      <c r="AA124" s="87" t="s">
        <v>43</v>
      </c>
      <c r="AB124" s="68" t="e">
        <f>+VLOOKUP(A124,'[1]VALID RIM NUEVAM'!A$1:O$65536,15,0)</f>
        <v>#N/A</v>
      </c>
      <c r="AC124" s="70"/>
      <c r="AD124" s="70"/>
      <c r="AE124" s="70"/>
    </row>
    <row r="125" spans="1:31" ht="30">
      <c r="A125" s="68" t="str">
        <f t="shared" si="2"/>
        <v>806108339413M COMPANY</v>
      </c>
      <c r="B125" s="69">
        <v>80610833941</v>
      </c>
      <c r="C125" s="68" t="s">
        <v>458</v>
      </c>
      <c r="D125" s="68">
        <v>3919100000</v>
      </c>
      <c r="E125" s="68" t="s">
        <v>32</v>
      </c>
      <c r="F125" s="97">
        <v>3536</v>
      </c>
      <c r="G125" s="98">
        <v>47744</v>
      </c>
      <c r="H125" s="70" t="s">
        <v>122</v>
      </c>
      <c r="I125" s="70" t="s">
        <v>35</v>
      </c>
      <c r="J125" s="97" t="s">
        <v>459</v>
      </c>
      <c r="K125" s="97" t="s">
        <v>36</v>
      </c>
      <c r="L125" s="73" t="s">
        <v>37</v>
      </c>
      <c r="M125" s="68" t="s">
        <v>96</v>
      </c>
      <c r="N125" s="74">
        <v>2669581</v>
      </c>
      <c r="O125" s="75" t="s">
        <v>444</v>
      </c>
      <c r="P125" s="76" t="s">
        <v>445</v>
      </c>
      <c r="Q125" s="172">
        <v>46225</v>
      </c>
      <c r="R125" s="77">
        <v>46409</v>
      </c>
      <c r="S125" s="176">
        <v>46209</v>
      </c>
      <c r="T125" s="78">
        <v>46213</v>
      </c>
      <c r="U125" s="78">
        <v>46217</v>
      </c>
      <c r="V125" s="79" t="s">
        <v>41</v>
      </c>
      <c r="W125" s="79" t="s">
        <v>32</v>
      </c>
      <c r="X125" s="80" t="s">
        <v>41</v>
      </c>
      <c r="Y125" s="76" t="s">
        <v>32</v>
      </c>
      <c r="Z125" s="96"/>
      <c r="AA125" s="87" t="s">
        <v>43</v>
      </c>
      <c r="AB125" s="68" t="e">
        <f>+VLOOKUP(A125,'[1]VALID RIM NUEVAM'!A$1:O$65536,15,0)</f>
        <v>#N/A</v>
      </c>
      <c r="AC125" s="70"/>
      <c r="AD125" s="70"/>
      <c r="AE125" s="70"/>
    </row>
    <row r="126" spans="1:31" ht="30">
      <c r="A126" s="68" t="str">
        <f t="shared" si="2"/>
        <v>806108339663M COMPANY</v>
      </c>
      <c r="B126" s="69">
        <v>80610833966</v>
      </c>
      <c r="C126" s="68" t="s">
        <v>460</v>
      </c>
      <c r="D126" s="68">
        <v>3919100000</v>
      </c>
      <c r="E126" s="68" t="s">
        <v>32</v>
      </c>
      <c r="F126" s="97">
        <v>3536</v>
      </c>
      <c r="G126" s="98">
        <v>47744</v>
      </c>
      <c r="H126" s="70" t="s">
        <v>122</v>
      </c>
      <c r="I126" s="70" t="s">
        <v>35</v>
      </c>
      <c r="J126" s="97" t="s">
        <v>461</v>
      </c>
      <c r="K126" s="97" t="s">
        <v>36</v>
      </c>
      <c r="L126" s="73" t="s">
        <v>37</v>
      </c>
      <c r="M126" s="68" t="s">
        <v>96</v>
      </c>
      <c r="N126" s="74">
        <v>2669581</v>
      </c>
      <c r="O126" s="75" t="s">
        <v>444</v>
      </c>
      <c r="P126" s="76" t="s">
        <v>445</v>
      </c>
      <c r="Q126" s="172">
        <v>46225</v>
      </c>
      <c r="R126" s="77">
        <v>46409</v>
      </c>
      <c r="S126" s="176">
        <v>46209</v>
      </c>
      <c r="T126" s="78">
        <v>46213</v>
      </c>
      <c r="U126" s="78">
        <v>46217</v>
      </c>
      <c r="V126" s="79" t="s">
        <v>41</v>
      </c>
      <c r="W126" s="79" t="s">
        <v>32</v>
      </c>
      <c r="X126" s="80" t="s">
        <v>41</v>
      </c>
      <c r="Y126" s="76" t="s">
        <v>32</v>
      </c>
      <c r="Z126" s="96"/>
      <c r="AA126" s="87" t="s">
        <v>43</v>
      </c>
      <c r="AB126" s="68" t="e">
        <f>+VLOOKUP(A126,'[1]VALID RIM NUEVAM'!A$1:O$65536,15,0)</f>
        <v>#N/A</v>
      </c>
      <c r="AC126" s="70"/>
      <c r="AD126" s="70"/>
      <c r="AE126" s="70"/>
    </row>
    <row r="127" spans="1:31" ht="30">
      <c r="A127" s="68" t="str">
        <f t="shared" si="2"/>
        <v>806108339823M COMPANY</v>
      </c>
      <c r="B127" s="69">
        <v>80610833982</v>
      </c>
      <c r="C127" s="68" t="s">
        <v>462</v>
      </c>
      <c r="D127" s="68">
        <v>3919100000</v>
      </c>
      <c r="E127" s="68" t="s">
        <v>32</v>
      </c>
      <c r="F127" s="97">
        <v>3536</v>
      </c>
      <c r="G127" s="98">
        <v>47744</v>
      </c>
      <c r="H127" s="70" t="s">
        <v>122</v>
      </c>
      <c r="I127" s="70" t="s">
        <v>35</v>
      </c>
      <c r="J127" s="97" t="s">
        <v>463</v>
      </c>
      <c r="K127" s="97" t="s">
        <v>36</v>
      </c>
      <c r="L127" s="73" t="s">
        <v>37</v>
      </c>
      <c r="M127" s="68" t="s">
        <v>96</v>
      </c>
      <c r="N127" s="74">
        <v>2669581</v>
      </c>
      <c r="O127" s="75" t="s">
        <v>444</v>
      </c>
      <c r="P127" s="76" t="s">
        <v>445</v>
      </c>
      <c r="Q127" s="172">
        <v>46225</v>
      </c>
      <c r="R127" s="77">
        <v>46409</v>
      </c>
      <c r="S127" s="176">
        <v>46209</v>
      </c>
      <c r="T127" s="78">
        <v>46213</v>
      </c>
      <c r="U127" s="78">
        <v>46217</v>
      </c>
      <c r="V127" s="79" t="s">
        <v>41</v>
      </c>
      <c r="W127" s="79" t="s">
        <v>32</v>
      </c>
      <c r="X127" s="80" t="s">
        <v>41</v>
      </c>
      <c r="Y127" s="76" t="s">
        <v>32</v>
      </c>
      <c r="Z127" s="96"/>
      <c r="AA127" s="87" t="s">
        <v>43</v>
      </c>
      <c r="AB127" s="68" t="e">
        <f>+VLOOKUP(A127,'[1]VALID RIM NUEVAM'!A$1:O$65536,15,0)</f>
        <v>#N/A</v>
      </c>
      <c r="AC127" s="70"/>
      <c r="AD127" s="70"/>
      <c r="AE127" s="70"/>
    </row>
    <row r="128" spans="1:31" ht="30">
      <c r="A128" s="68" t="str">
        <f t="shared" si="2"/>
        <v>806108340063M COMPANY</v>
      </c>
      <c r="B128" s="69">
        <v>80610834006</v>
      </c>
      <c r="C128" s="68" t="s">
        <v>464</v>
      </c>
      <c r="D128" s="68">
        <v>3919100000</v>
      </c>
      <c r="E128" s="68" t="s">
        <v>32</v>
      </c>
      <c r="F128" s="97">
        <v>3536</v>
      </c>
      <c r="G128" s="98">
        <v>47744</v>
      </c>
      <c r="H128" s="70" t="s">
        <v>122</v>
      </c>
      <c r="I128" s="70" t="s">
        <v>35</v>
      </c>
      <c r="J128" s="97" t="s">
        <v>463</v>
      </c>
      <c r="K128" s="97" t="s">
        <v>36</v>
      </c>
      <c r="L128" s="73" t="s">
        <v>37</v>
      </c>
      <c r="M128" s="68" t="s">
        <v>96</v>
      </c>
      <c r="N128" s="74">
        <v>2669581</v>
      </c>
      <c r="O128" s="75" t="s">
        <v>444</v>
      </c>
      <c r="P128" s="76" t="s">
        <v>445</v>
      </c>
      <c r="Q128" s="172">
        <v>46225</v>
      </c>
      <c r="R128" s="77">
        <v>46409</v>
      </c>
      <c r="S128" s="176">
        <v>46209</v>
      </c>
      <c r="T128" s="78">
        <v>46213</v>
      </c>
      <c r="U128" s="78">
        <v>46217</v>
      </c>
      <c r="V128" s="79" t="s">
        <v>41</v>
      </c>
      <c r="W128" s="79" t="s">
        <v>32</v>
      </c>
      <c r="X128" s="80" t="s">
        <v>41</v>
      </c>
      <c r="Y128" s="76" t="s">
        <v>32</v>
      </c>
      <c r="Z128" s="96"/>
      <c r="AA128" s="87" t="s">
        <v>43</v>
      </c>
      <c r="AB128" s="68" t="e">
        <f>+VLOOKUP(A128,'[1]VALID RIM NUEVAM'!A$1:O$65536,15,0)</f>
        <v>#N/A</v>
      </c>
      <c r="AC128" s="70"/>
      <c r="AD128" s="70"/>
      <c r="AE128" s="70"/>
    </row>
    <row r="129" spans="1:31" ht="30">
      <c r="A129" s="68" t="str">
        <f t="shared" si="2"/>
        <v>806108340223M COMPANY</v>
      </c>
      <c r="B129" s="69">
        <v>80610834022</v>
      </c>
      <c r="C129" s="68" t="s">
        <v>465</v>
      </c>
      <c r="D129" s="68">
        <v>3919100000</v>
      </c>
      <c r="E129" s="68" t="s">
        <v>32</v>
      </c>
      <c r="F129" s="97">
        <v>3536</v>
      </c>
      <c r="G129" s="98">
        <v>47744</v>
      </c>
      <c r="H129" s="70" t="s">
        <v>122</v>
      </c>
      <c r="I129" s="70" t="s">
        <v>35</v>
      </c>
      <c r="J129" s="97" t="s">
        <v>466</v>
      </c>
      <c r="K129" s="97" t="s">
        <v>36</v>
      </c>
      <c r="L129" s="73" t="s">
        <v>37</v>
      </c>
      <c r="M129" s="68" t="s">
        <v>96</v>
      </c>
      <c r="N129" s="74">
        <v>2669581</v>
      </c>
      <c r="O129" s="75" t="s">
        <v>444</v>
      </c>
      <c r="P129" s="76" t="s">
        <v>445</v>
      </c>
      <c r="Q129" s="172">
        <v>46225</v>
      </c>
      <c r="R129" s="77">
        <v>46409</v>
      </c>
      <c r="S129" s="176">
        <v>46209</v>
      </c>
      <c r="T129" s="78">
        <v>46213</v>
      </c>
      <c r="U129" s="78">
        <v>46217</v>
      </c>
      <c r="V129" s="79" t="s">
        <v>41</v>
      </c>
      <c r="W129" s="79" t="s">
        <v>32</v>
      </c>
      <c r="X129" s="80" t="s">
        <v>41</v>
      </c>
      <c r="Y129" s="76" t="s">
        <v>32</v>
      </c>
      <c r="Z129" s="96"/>
      <c r="AA129" s="87" t="s">
        <v>43</v>
      </c>
      <c r="AB129" s="68" t="e">
        <f>+VLOOKUP(A129,'[1]VALID RIM NUEVAM'!A$1:O$65536,15,0)</f>
        <v>#N/A</v>
      </c>
      <c r="AC129" s="70"/>
      <c r="AD129" s="70"/>
      <c r="AE129" s="70"/>
    </row>
    <row r="130" spans="1:31" ht="30">
      <c r="A130" s="68" t="str">
        <f t="shared" si="2"/>
        <v>806108340483M COMPANY</v>
      </c>
      <c r="B130" s="69">
        <v>80610834048</v>
      </c>
      <c r="C130" s="68" t="s">
        <v>467</v>
      </c>
      <c r="D130" s="68">
        <v>3919100000</v>
      </c>
      <c r="E130" s="68" t="s">
        <v>32</v>
      </c>
      <c r="F130" s="97">
        <v>3536</v>
      </c>
      <c r="G130" s="98">
        <v>47744</v>
      </c>
      <c r="H130" s="70" t="s">
        <v>122</v>
      </c>
      <c r="I130" s="70" t="s">
        <v>35</v>
      </c>
      <c r="J130" s="97" t="s">
        <v>468</v>
      </c>
      <c r="K130" s="97" t="s">
        <v>36</v>
      </c>
      <c r="L130" s="73" t="s">
        <v>37</v>
      </c>
      <c r="M130" s="68" t="s">
        <v>96</v>
      </c>
      <c r="N130" s="74">
        <v>2669581</v>
      </c>
      <c r="O130" s="75" t="s">
        <v>444</v>
      </c>
      <c r="P130" s="76" t="s">
        <v>445</v>
      </c>
      <c r="Q130" s="172">
        <v>46225</v>
      </c>
      <c r="R130" s="77">
        <v>46409</v>
      </c>
      <c r="S130" s="176">
        <v>46209</v>
      </c>
      <c r="T130" s="78">
        <v>46213</v>
      </c>
      <c r="U130" s="78">
        <v>46217</v>
      </c>
      <c r="V130" s="79" t="s">
        <v>41</v>
      </c>
      <c r="W130" s="79" t="s">
        <v>32</v>
      </c>
      <c r="X130" s="80" t="s">
        <v>41</v>
      </c>
      <c r="Y130" s="76" t="s">
        <v>32</v>
      </c>
      <c r="Z130" s="96"/>
      <c r="AA130" s="87" t="s">
        <v>43</v>
      </c>
      <c r="AB130" s="68" t="e">
        <f>+VLOOKUP(A130,'[1]VALID RIM NUEVAM'!A$1:O$65536,15,0)</f>
        <v>#N/A</v>
      </c>
      <c r="AC130" s="70"/>
      <c r="AD130" s="70"/>
      <c r="AE130" s="70"/>
    </row>
    <row r="131" spans="1:31" ht="30">
      <c r="A131" s="68" t="str">
        <f t="shared" si="2"/>
        <v>806112070123M COMPANY</v>
      </c>
      <c r="B131" s="69">
        <v>80611207012</v>
      </c>
      <c r="C131" s="68" t="s">
        <v>374</v>
      </c>
      <c r="D131" s="68">
        <v>3919100000</v>
      </c>
      <c r="E131" s="68" t="s">
        <v>32</v>
      </c>
      <c r="F131" s="97">
        <v>3536</v>
      </c>
      <c r="G131" s="98">
        <v>47744</v>
      </c>
      <c r="H131" s="70" t="s">
        <v>122</v>
      </c>
      <c r="I131" s="70" t="s">
        <v>35</v>
      </c>
      <c r="J131" s="97" t="s">
        <v>469</v>
      </c>
      <c r="K131" s="97" t="s">
        <v>36</v>
      </c>
      <c r="L131" s="73" t="s">
        <v>37</v>
      </c>
      <c r="M131" s="68" t="s">
        <v>96</v>
      </c>
      <c r="N131" s="74">
        <v>2669581</v>
      </c>
      <c r="O131" s="75" t="s">
        <v>444</v>
      </c>
      <c r="P131" s="76" t="s">
        <v>445</v>
      </c>
      <c r="Q131" s="172">
        <v>46225</v>
      </c>
      <c r="R131" s="77">
        <v>46409</v>
      </c>
      <c r="S131" s="176">
        <v>46209</v>
      </c>
      <c r="T131" s="78">
        <v>46213</v>
      </c>
      <c r="U131" s="78">
        <v>46217</v>
      </c>
      <c r="V131" s="79" t="s">
        <v>41</v>
      </c>
      <c r="W131" s="79" t="s">
        <v>32</v>
      </c>
      <c r="X131" s="80" t="s">
        <v>41</v>
      </c>
      <c r="Y131" s="76" t="s">
        <v>32</v>
      </c>
      <c r="Z131" s="96"/>
      <c r="AA131" s="87" t="s">
        <v>43</v>
      </c>
      <c r="AB131" s="68" t="e">
        <f>+VLOOKUP(A131,'[1]VALID RIM NUEVAM'!A$1:O$65536,15,0)</f>
        <v>#N/A</v>
      </c>
      <c r="AC131" s="70"/>
      <c r="AD131" s="70"/>
      <c r="AE131" s="70"/>
    </row>
    <row r="132" spans="1:31" ht="30">
      <c r="A132" s="68" t="str">
        <f t="shared" si="2"/>
        <v>806114386173M COMPANY</v>
      </c>
      <c r="B132" s="69">
        <v>80611438617</v>
      </c>
      <c r="C132" s="68" t="s">
        <v>470</v>
      </c>
      <c r="D132" s="68">
        <v>3920990000</v>
      </c>
      <c r="E132" s="68" t="s">
        <v>32</v>
      </c>
      <c r="F132" s="97">
        <v>3535</v>
      </c>
      <c r="G132" s="98">
        <v>47744</v>
      </c>
      <c r="H132" s="70" t="s">
        <v>122</v>
      </c>
      <c r="I132" s="70" t="s">
        <v>35</v>
      </c>
      <c r="J132" s="97" t="s">
        <v>471</v>
      </c>
      <c r="K132" s="97" t="s">
        <v>36</v>
      </c>
      <c r="L132" s="68" t="s">
        <v>472</v>
      </c>
      <c r="M132" s="68" t="s">
        <v>96</v>
      </c>
      <c r="N132" s="74">
        <v>2669581</v>
      </c>
      <c r="O132" s="75" t="s">
        <v>444</v>
      </c>
      <c r="P132" s="76" t="s">
        <v>445</v>
      </c>
      <c r="Q132" s="172">
        <v>46225</v>
      </c>
      <c r="R132" s="77">
        <v>46409</v>
      </c>
      <c r="S132" s="176">
        <v>46209</v>
      </c>
      <c r="T132" s="78">
        <v>46213</v>
      </c>
      <c r="U132" s="78">
        <v>46217</v>
      </c>
      <c r="V132" s="79" t="s">
        <v>41</v>
      </c>
      <c r="W132" s="79" t="s">
        <v>32</v>
      </c>
      <c r="X132" s="80" t="s">
        <v>41</v>
      </c>
      <c r="Y132" s="76" t="s">
        <v>32</v>
      </c>
      <c r="Z132" s="96"/>
      <c r="AA132" s="87" t="s">
        <v>43</v>
      </c>
      <c r="AB132" s="68" t="e">
        <f>+VLOOKUP(A132,'[1]VALID RIM NUEVAM'!A$1:O$65536,15,0)</f>
        <v>#N/A</v>
      </c>
      <c r="AC132" s="70"/>
      <c r="AD132" s="70"/>
      <c r="AE132" s="70"/>
    </row>
    <row r="133" spans="1:31" ht="60">
      <c r="A133" s="68" t="s">
        <v>473</v>
      </c>
      <c r="B133" s="69">
        <v>80610033369</v>
      </c>
      <c r="C133" s="68">
        <v>31036</v>
      </c>
      <c r="D133" s="68">
        <v>8535909000</v>
      </c>
      <c r="E133" s="68" t="s">
        <v>32</v>
      </c>
      <c r="F133" s="70">
        <v>3517</v>
      </c>
      <c r="G133" s="71">
        <v>47733</v>
      </c>
      <c r="H133" s="70" t="s">
        <v>141</v>
      </c>
      <c r="I133" s="70" t="s">
        <v>212</v>
      </c>
      <c r="J133" s="72">
        <v>10.41</v>
      </c>
      <c r="K133" s="72" t="s">
        <v>36</v>
      </c>
      <c r="L133" s="73" t="s">
        <v>213</v>
      </c>
      <c r="M133" s="73" t="s">
        <v>86</v>
      </c>
      <c r="N133" s="74">
        <v>2670527</v>
      </c>
      <c r="O133" s="75" t="s">
        <v>474</v>
      </c>
      <c r="P133" s="76" t="s">
        <v>475</v>
      </c>
      <c r="Q133" s="172">
        <v>46226</v>
      </c>
      <c r="R133" s="77">
        <v>46409</v>
      </c>
      <c r="S133" s="176">
        <v>46211</v>
      </c>
      <c r="T133" s="78">
        <v>46217</v>
      </c>
      <c r="U133" s="78">
        <v>46217</v>
      </c>
      <c r="V133" s="79" t="s">
        <v>41</v>
      </c>
      <c r="W133" s="79" t="s">
        <v>32</v>
      </c>
      <c r="X133" s="80" t="s">
        <v>41</v>
      </c>
      <c r="Y133" s="76" t="s">
        <v>32</v>
      </c>
      <c r="Z133" s="68"/>
      <c r="AA133" s="70" t="s">
        <v>43</v>
      </c>
      <c r="AB133" s="99" t="e">
        <v>#N/A</v>
      </c>
      <c r="AC133" s="70"/>
      <c r="AD133" s="70"/>
      <c r="AE133" s="70"/>
    </row>
    <row r="134" spans="1:31" ht="60">
      <c r="A134" s="68" t="s">
        <v>476</v>
      </c>
      <c r="B134" s="69">
        <v>80610033278</v>
      </c>
      <c r="C134" s="68">
        <v>30023</v>
      </c>
      <c r="D134" s="68">
        <v>8535909000</v>
      </c>
      <c r="E134" s="68" t="s">
        <v>32</v>
      </c>
      <c r="F134" s="70">
        <v>3517</v>
      </c>
      <c r="G134" s="71">
        <v>47733</v>
      </c>
      <c r="H134" s="70" t="s">
        <v>141</v>
      </c>
      <c r="I134" s="70" t="s">
        <v>212</v>
      </c>
      <c r="J134" s="72" t="s">
        <v>477</v>
      </c>
      <c r="K134" s="72" t="s">
        <v>36</v>
      </c>
      <c r="L134" s="73" t="s">
        <v>213</v>
      </c>
      <c r="M134" s="73" t="s">
        <v>86</v>
      </c>
      <c r="N134" s="74">
        <v>2670527</v>
      </c>
      <c r="O134" s="75" t="s">
        <v>474</v>
      </c>
      <c r="P134" s="76" t="s">
        <v>475</v>
      </c>
      <c r="Q134" s="172">
        <v>46226</v>
      </c>
      <c r="R134" s="77">
        <v>46409</v>
      </c>
      <c r="S134" s="176">
        <v>46211</v>
      </c>
      <c r="T134" s="78">
        <v>46217</v>
      </c>
      <c r="U134" s="78">
        <v>46217</v>
      </c>
      <c r="V134" s="79" t="s">
        <v>41</v>
      </c>
      <c r="W134" s="79" t="s">
        <v>32</v>
      </c>
      <c r="X134" s="80" t="s">
        <v>41</v>
      </c>
      <c r="Y134" s="76" t="s">
        <v>32</v>
      </c>
      <c r="Z134" s="68"/>
      <c r="AA134" s="70" t="s">
        <v>43</v>
      </c>
      <c r="AB134" s="99" t="e">
        <v>#N/A</v>
      </c>
      <c r="AC134" s="70" t="s">
        <v>43</v>
      </c>
      <c r="AD134" s="70">
        <v>2535863</v>
      </c>
      <c r="AE134" s="70" t="s">
        <v>478</v>
      </c>
    </row>
    <row r="135" spans="1:31" ht="60">
      <c r="A135" s="68" t="s">
        <v>479</v>
      </c>
      <c r="B135" s="69">
        <v>80610033328</v>
      </c>
      <c r="C135" s="68">
        <v>30032</v>
      </c>
      <c r="D135" s="68">
        <v>8535909000</v>
      </c>
      <c r="E135" s="68" t="s">
        <v>32</v>
      </c>
      <c r="F135" s="70">
        <v>3517</v>
      </c>
      <c r="G135" s="71">
        <v>47733</v>
      </c>
      <c r="H135" s="70" t="s">
        <v>141</v>
      </c>
      <c r="I135" s="70" t="s">
        <v>212</v>
      </c>
      <c r="J135" s="72" t="s">
        <v>480</v>
      </c>
      <c r="K135" s="72" t="s">
        <v>36</v>
      </c>
      <c r="L135" s="73" t="s">
        <v>213</v>
      </c>
      <c r="M135" s="73" t="s">
        <v>86</v>
      </c>
      <c r="N135" s="74">
        <v>2670527</v>
      </c>
      <c r="O135" s="75" t="s">
        <v>474</v>
      </c>
      <c r="P135" s="76" t="s">
        <v>475</v>
      </c>
      <c r="Q135" s="172">
        <v>46226</v>
      </c>
      <c r="R135" s="77">
        <v>46409</v>
      </c>
      <c r="S135" s="176">
        <v>46211</v>
      </c>
      <c r="T135" s="78">
        <v>46217</v>
      </c>
      <c r="U135" s="78">
        <v>46217</v>
      </c>
      <c r="V135" s="79" t="s">
        <v>41</v>
      </c>
      <c r="W135" s="79" t="s">
        <v>32</v>
      </c>
      <c r="X135" s="80" t="s">
        <v>41</v>
      </c>
      <c r="Y135" s="76" t="s">
        <v>32</v>
      </c>
      <c r="Z135" s="68"/>
      <c r="AA135" s="70" t="s">
        <v>43</v>
      </c>
      <c r="AB135" s="99" t="e">
        <v>#N/A</v>
      </c>
      <c r="AC135" s="70" t="s">
        <v>43</v>
      </c>
      <c r="AD135" s="70">
        <v>2535863</v>
      </c>
      <c r="AE135" s="70" t="s">
        <v>478</v>
      </c>
    </row>
    <row r="136" spans="1:31" ht="60">
      <c r="A136" s="68" t="s">
        <v>481</v>
      </c>
      <c r="B136" s="69">
        <v>80610033435</v>
      </c>
      <c r="C136" s="68">
        <v>31067</v>
      </c>
      <c r="D136" s="68">
        <v>8535909000</v>
      </c>
      <c r="E136" s="68" t="s">
        <v>32</v>
      </c>
      <c r="F136" s="70">
        <v>3517</v>
      </c>
      <c r="G136" s="71">
        <v>47733</v>
      </c>
      <c r="H136" s="70" t="s">
        <v>141</v>
      </c>
      <c r="I136" s="70" t="s">
        <v>212</v>
      </c>
      <c r="J136" s="72" t="s">
        <v>482</v>
      </c>
      <c r="K136" s="72" t="s">
        <v>36</v>
      </c>
      <c r="L136" s="73" t="s">
        <v>213</v>
      </c>
      <c r="M136" s="73" t="s">
        <v>86</v>
      </c>
      <c r="N136" s="74">
        <v>2670527</v>
      </c>
      <c r="O136" s="75" t="s">
        <v>474</v>
      </c>
      <c r="P136" s="76" t="s">
        <v>475</v>
      </c>
      <c r="Q136" s="172">
        <v>46226</v>
      </c>
      <c r="R136" s="77">
        <v>46409</v>
      </c>
      <c r="S136" s="176">
        <v>46211</v>
      </c>
      <c r="T136" s="78">
        <v>46217</v>
      </c>
      <c r="U136" s="78">
        <v>46217</v>
      </c>
      <c r="V136" s="79" t="s">
        <v>41</v>
      </c>
      <c r="W136" s="79" t="s">
        <v>32</v>
      </c>
      <c r="X136" s="80" t="s">
        <v>41</v>
      </c>
      <c r="Y136" s="76" t="s">
        <v>32</v>
      </c>
      <c r="Z136" s="68"/>
      <c r="AA136" s="70" t="s">
        <v>43</v>
      </c>
      <c r="AB136" s="99" t="e">
        <v>#N/A</v>
      </c>
      <c r="AC136" s="70" t="s">
        <v>43</v>
      </c>
      <c r="AD136" s="70">
        <v>2535863</v>
      </c>
      <c r="AE136" s="70" t="s">
        <v>478</v>
      </c>
    </row>
    <row r="137" spans="1:31" ht="60">
      <c r="A137" s="68" t="s">
        <v>483</v>
      </c>
      <c r="B137" s="69">
        <v>80610033062</v>
      </c>
      <c r="C137" s="68">
        <v>10010</v>
      </c>
      <c r="D137" s="68">
        <v>8535909000</v>
      </c>
      <c r="E137" s="68" t="s">
        <v>32</v>
      </c>
      <c r="F137" s="70">
        <v>3517</v>
      </c>
      <c r="G137" s="71">
        <v>47733</v>
      </c>
      <c r="H137" s="70" t="s">
        <v>141</v>
      </c>
      <c r="I137" s="70" t="s">
        <v>212</v>
      </c>
      <c r="J137" s="72" t="s">
        <v>484</v>
      </c>
      <c r="K137" s="72" t="s">
        <v>36</v>
      </c>
      <c r="L137" s="73" t="s">
        <v>213</v>
      </c>
      <c r="M137" s="73" t="s">
        <v>86</v>
      </c>
      <c r="N137" s="74">
        <v>2670527</v>
      </c>
      <c r="O137" s="75" t="s">
        <v>474</v>
      </c>
      <c r="P137" s="76" t="s">
        <v>475</v>
      </c>
      <c r="Q137" s="172">
        <v>46226</v>
      </c>
      <c r="R137" s="77">
        <v>46409</v>
      </c>
      <c r="S137" s="176">
        <v>46211</v>
      </c>
      <c r="T137" s="78">
        <v>46217</v>
      </c>
      <c r="U137" s="78">
        <v>46217</v>
      </c>
      <c r="V137" s="79" t="s">
        <v>41</v>
      </c>
      <c r="W137" s="79" t="s">
        <v>32</v>
      </c>
      <c r="X137" s="80" t="s">
        <v>41</v>
      </c>
      <c r="Y137" s="76" t="s">
        <v>32</v>
      </c>
      <c r="Z137" s="68"/>
      <c r="AA137" s="70" t="s">
        <v>43</v>
      </c>
      <c r="AB137" s="99" t="e">
        <v>#N/A</v>
      </c>
      <c r="AC137" s="70" t="s">
        <v>43</v>
      </c>
      <c r="AD137" s="70">
        <v>2535863</v>
      </c>
      <c r="AE137" s="70" t="s">
        <v>478</v>
      </c>
    </row>
    <row r="138" spans="1:31" ht="60">
      <c r="A138" s="68" t="s">
        <v>485</v>
      </c>
      <c r="B138" s="69">
        <v>80610033377</v>
      </c>
      <c r="C138" s="68">
        <v>31041</v>
      </c>
      <c r="D138" s="68">
        <v>8535909000</v>
      </c>
      <c r="E138" s="68" t="s">
        <v>32</v>
      </c>
      <c r="F138" s="70">
        <v>3517</v>
      </c>
      <c r="G138" s="71">
        <v>47733</v>
      </c>
      <c r="H138" s="70" t="s">
        <v>141</v>
      </c>
      <c r="I138" s="70" t="s">
        <v>212</v>
      </c>
      <c r="J138" s="72" t="s">
        <v>486</v>
      </c>
      <c r="K138" s="72" t="s">
        <v>36</v>
      </c>
      <c r="L138" s="73" t="s">
        <v>213</v>
      </c>
      <c r="M138" s="73" t="s">
        <v>86</v>
      </c>
      <c r="N138" s="74">
        <v>2670527</v>
      </c>
      <c r="O138" s="75" t="s">
        <v>474</v>
      </c>
      <c r="P138" s="76" t="s">
        <v>475</v>
      </c>
      <c r="Q138" s="172">
        <v>46226</v>
      </c>
      <c r="R138" s="77">
        <v>46409</v>
      </c>
      <c r="S138" s="176">
        <v>46211</v>
      </c>
      <c r="T138" s="78">
        <v>46217</v>
      </c>
      <c r="U138" s="78">
        <v>46217</v>
      </c>
      <c r="V138" s="79" t="s">
        <v>41</v>
      </c>
      <c r="W138" s="79" t="s">
        <v>32</v>
      </c>
      <c r="X138" s="80" t="s">
        <v>41</v>
      </c>
      <c r="Y138" s="76" t="s">
        <v>32</v>
      </c>
      <c r="Z138" s="68"/>
      <c r="AA138" s="70" t="s">
        <v>43</v>
      </c>
      <c r="AB138" s="99" t="e">
        <v>#N/A</v>
      </c>
      <c r="AC138" s="70" t="s">
        <v>43</v>
      </c>
      <c r="AD138" s="70">
        <v>2535863</v>
      </c>
      <c r="AE138" s="70" t="s">
        <v>478</v>
      </c>
    </row>
    <row r="139" spans="1:31" ht="60">
      <c r="A139" s="68" t="s">
        <v>487</v>
      </c>
      <c r="B139" s="69">
        <v>80610033047</v>
      </c>
      <c r="C139" s="68">
        <v>10008</v>
      </c>
      <c r="D139" s="68">
        <v>8535909000</v>
      </c>
      <c r="E139" s="68" t="s">
        <v>32</v>
      </c>
      <c r="F139" s="70">
        <v>3517</v>
      </c>
      <c r="G139" s="71">
        <v>47733</v>
      </c>
      <c r="H139" s="70" t="s">
        <v>141</v>
      </c>
      <c r="I139" s="70" t="s">
        <v>212</v>
      </c>
      <c r="J139" s="72" t="s">
        <v>488</v>
      </c>
      <c r="K139" s="72" t="s">
        <v>36</v>
      </c>
      <c r="L139" s="73" t="s">
        <v>213</v>
      </c>
      <c r="M139" s="73" t="s">
        <v>86</v>
      </c>
      <c r="N139" s="74">
        <v>2670527</v>
      </c>
      <c r="O139" s="75" t="s">
        <v>474</v>
      </c>
      <c r="P139" s="76" t="s">
        <v>475</v>
      </c>
      <c r="Q139" s="172">
        <v>46226</v>
      </c>
      <c r="R139" s="77">
        <v>46409</v>
      </c>
      <c r="S139" s="176">
        <v>46211</v>
      </c>
      <c r="T139" s="78">
        <v>46217</v>
      </c>
      <c r="U139" s="78">
        <v>46217</v>
      </c>
      <c r="V139" s="79" t="s">
        <v>41</v>
      </c>
      <c r="W139" s="79" t="s">
        <v>32</v>
      </c>
      <c r="X139" s="80" t="s">
        <v>41</v>
      </c>
      <c r="Y139" s="76" t="s">
        <v>32</v>
      </c>
      <c r="Z139" s="68"/>
      <c r="AA139" s="70" t="s">
        <v>43</v>
      </c>
      <c r="AB139" s="99" t="e">
        <v>#N/A</v>
      </c>
      <c r="AC139" s="70" t="s">
        <v>43</v>
      </c>
      <c r="AD139" s="70">
        <v>2535863</v>
      </c>
      <c r="AE139" s="70" t="s">
        <v>478</v>
      </c>
    </row>
    <row r="140" spans="1:31" ht="60">
      <c r="A140" s="68" t="s">
        <v>489</v>
      </c>
      <c r="B140" s="69">
        <v>80610033401</v>
      </c>
      <c r="C140" s="68">
        <v>31053</v>
      </c>
      <c r="D140" s="68">
        <v>8535909000</v>
      </c>
      <c r="E140" s="68" t="s">
        <v>32</v>
      </c>
      <c r="F140" s="70">
        <v>3517</v>
      </c>
      <c r="G140" s="71">
        <v>47733</v>
      </c>
      <c r="H140" s="70" t="s">
        <v>141</v>
      </c>
      <c r="I140" s="70" t="s">
        <v>212</v>
      </c>
      <c r="J140" s="72" t="s">
        <v>490</v>
      </c>
      <c r="K140" s="72" t="s">
        <v>36</v>
      </c>
      <c r="L140" s="73" t="s">
        <v>213</v>
      </c>
      <c r="M140" s="73" t="s">
        <v>86</v>
      </c>
      <c r="N140" s="74">
        <v>2670527</v>
      </c>
      <c r="O140" s="75" t="s">
        <v>474</v>
      </c>
      <c r="P140" s="76" t="s">
        <v>475</v>
      </c>
      <c r="Q140" s="172">
        <v>46226</v>
      </c>
      <c r="R140" s="77">
        <v>46409</v>
      </c>
      <c r="S140" s="176">
        <v>46211</v>
      </c>
      <c r="T140" s="78">
        <v>46217</v>
      </c>
      <c r="U140" s="78">
        <v>46217</v>
      </c>
      <c r="V140" s="79" t="s">
        <v>41</v>
      </c>
      <c r="W140" s="79" t="s">
        <v>32</v>
      </c>
      <c r="X140" s="80" t="s">
        <v>41</v>
      </c>
      <c r="Y140" s="76" t="s">
        <v>32</v>
      </c>
      <c r="Z140" s="68"/>
      <c r="AA140" s="70" t="s">
        <v>43</v>
      </c>
      <c r="AB140" s="99" t="e">
        <v>#N/A</v>
      </c>
      <c r="AC140" s="70" t="s">
        <v>43</v>
      </c>
      <c r="AD140" s="70">
        <v>2590556</v>
      </c>
      <c r="AE140" s="70" t="s">
        <v>491</v>
      </c>
    </row>
    <row r="141" spans="1:31" ht="60">
      <c r="A141" s="68" t="s">
        <v>492</v>
      </c>
      <c r="B141" s="69">
        <v>80610033088</v>
      </c>
      <c r="C141" s="68">
        <v>10014</v>
      </c>
      <c r="D141" s="68">
        <v>8535909000</v>
      </c>
      <c r="E141" s="68" t="s">
        <v>32</v>
      </c>
      <c r="F141" s="70">
        <v>3517</v>
      </c>
      <c r="G141" s="71">
        <v>47733</v>
      </c>
      <c r="H141" s="70" t="s">
        <v>141</v>
      </c>
      <c r="I141" s="70" t="s">
        <v>212</v>
      </c>
      <c r="J141" s="72" t="s">
        <v>493</v>
      </c>
      <c r="K141" s="72" t="s">
        <v>36</v>
      </c>
      <c r="L141" s="73" t="s">
        <v>213</v>
      </c>
      <c r="M141" s="73" t="s">
        <v>86</v>
      </c>
      <c r="N141" s="74">
        <v>2670527</v>
      </c>
      <c r="O141" s="75" t="s">
        <v>474</v>
      </c>
      <c r="P141" s="76" t="s">
        <v>475</v>
      </c>
      <c r="Q141" s="172">
        <v>46226</v>
      </c>
      <c r="R141" s="77">
        <v>46409</v>
      </c>
      <c r="S141" s="176">
        <v>46211</v>
      </c>
      <c r="T141" s="78">
        <v>46217</v>
      </c>
      <c r="U141" s="78">
        <v>46217</v>
      </c>
      <c r="V141" s="79" t="s">
        <v>41</v>
      </c>
      <c r="W141" s="79" t="s">
        <v>32</v>
      </c>
      <c r="X141" s="80" t="s">
        <v>41</v>
      </c>
      <c r="Y141" s="76" t="s">
        <v>32</v>
      </c>
      <c r="Z141" s="68"/>
      <c r="AA141" s="70" t="s">
        <v>43</v>
      </c>
      <c r="AB141" s="99" t="e">
        <v>#N/A</v>
      </c>
      <c r="AC141" s="70" t="s">
        <v>43</v>
      </c>
      <c r="AD141" s="70">
        <v>2590556</v>
      </c>
      <c r="AE141" s="70" t="s">
        <v>491</v>
      </c>
    </row>
    <row r="142" spans="1:31" ht="60">
      <c r="A142" s="68" t="s">
        <v>494</v>
      </c>
      <c r="B142" s="69">
        <v>80610033013</v>
      </c>
      <c r="C142" s="68">
        <v>10005</v>
      </c>
      <c r="D142" s="68">
        <v>8535909000</v>
      </c>
      <c r="E142" s="68" t="s">
        <v>32</v>
      </c>
      <c r="F142" s="70">
        <v>3517</v>
      </c>
      <c r="G142" s="71">
        <v>47733</v>
      </c>
      <c r="H142" s="70" t="s">
        <v>141</v>
      </c>
      <c r="I142" s="70" t="s">
        <v>212</v>
      </c>
      <c r="J142" s="72" t="s">
        <v>495</v>
      </c>
      <c r="K142" s="72" t="s">
        <v>36</v>
      </c>
      <c r="L142" s="73" t="s">
        <v>213</v>
      </c>
      <c r="M142" s="73" t="s">
        <v>86</v>
      </c>
      <c r="N142" s="74">
        <v>2670527</v>
      </c>
      <c r="O142" s="75" t="s">
        <v>474</v>
      </c>
      <c r="P142" s="76" t="s">
        <v>475</v>
      </c>
      <c r="Q142" s="172">
        <v>46226</v>
      </c>
      <c r="R142" s="77">
        <v>46409</v>
      </c>
      <c r="S142" s="176">
        <v>46211</v>
      </c>
      <c r="T142" s="78">
        <v>46217</v>
      </c>
      <c r="U142" s="78">
        <v>46217</v>
      </c>
      <c r="V142" s="79" t="s">
        <v>41</v>
      </c>
      <c r="W142" s="79" t="s">
        <v>32</v>
      </c>
      <c r="X142" s="80" t="s">
        <v>41</v>
      </c>
      <c r="Y142" s="76" t="s">
        <v>32</v>
      </c>
      <c r="Z142" s="68"/>
      <c r="AA142" s="70" t="s">
        <v>43</v>
      </c>
      <c r="AB142" s="99" t="e">
        <v>#N/A</v>
      </c>
      <c r="AC142" s="70" t="s">
        <v>43</v>
      </c>
      <c r="AD142" s="70">
        <v>2590556</v>
      </c>
      <c r="AE142" s="70" t="s">
        <v>491</v>
      </c>
    </row>
    <row r="143" spans="1:31" ht="60">
      <c r="A143" s="68" t="s">
        <v>496</v>
      </c>
      <c r="B143" s="69">
        <v>80610033070</v>
      </c>
      <c r="C143" s="68">
        <v>10011</v>
      </c>
      <c r="D143" s="68">
        <v>8535909000</v>
      </c>
      <c r="E143" s="68" t="s">
        <v>32</v>
      </c>
      <c r="F143" s="70">
        <v>3517</v>
      </c>
      <c r="G143" s="71">
        <v>47733</v>
      </c>
      <c r="H143" s="70" t="s">
        <v>141</v>
      </c>
      <c r="I143" s="70" t="s">
        <v>212</v>
      </c>
      <c r="J143" s="72" t="s">
        <v>497</v>
      </c>
      <c r="K143" s="72" t="s">
        <v>36</v>
      </c>
      <c r="L143" s="73" t="s">
        <v>213</v>
      </c>
      <c r="M143" s="73" t="s">
        <v>86</v>
      </c>
      <c r="N143" s="74">
        <v>2670527</v>
      </c>
      <c r="O143" s="75" t="s">
        <v>474</v>
      </c>
      <c r="P143" s="76" t="s">
        <v>475</v>
      </c>
      <c r="Q143" s="172">
        <v>46226</v>
      </c>
      <c r="R143" s="77">
        <v>46409</v>
      </c>
      <c r="S143" s="176">
        <v>46211</v>
      </c>
      <c r="T143" s="78">
        <v>46217</v>
      </c>
      <c r="U143" s="78">
        <v>46217</v>
      </c>
      <c r="V143" s="79" t="s">
        <v>41</v>
      </c>
      <c r="W143" s="79" t="s">
        <v>32</v>
      </c>
      <c r="X143" s="80" t="s">
        <v>41</v>
      </c>
      <c r="Y143" s="76" t="s">
        <v>32</v>
      </c>
      <c r="Z143" s="68"/>
      <c r="AA143" s="70" t="s">
        <v>43</v>
      </c>
      <c r="AB143" s="99" t="e">
        <v>#N/A</v>
      </c>
      <c r="AC143" s="70" t="s">
        <v>43</v>
      </c>
      <c r="AD143" s="70">
        <v>2590556</v>
      </c>
      <c r="AE143" s="70" t="s">
        <v>491</v>
      </c>
    </row>
    <row r="144" spans="1:31" ht="60">
      <c r="A144" s="68" t="s">
        <v>498</v>
      </c>
      <c r="B144" s="69">
        <v>80610033021</v>
      </c>
      <c r="C144" s="68">
        <v>10006</v>
      </c>
      <c r="D144" s="68">
        <v>8535909000</v>
      </c>
      <c r="E144" s="68" t="s">
        <v>32</v>
      </c>
      <c r="F144" s="70">
        <v>3517</v>
      </c>
      <c r="G144" s="71">
        <v>47733</v>
      </c>
      <c r="H144" s="70" t="s">
        <v>141</v>
      </c>
      <c r="I144" s="70" t="s">
        <v>212</v>
      </c>
      <c r="J144" s="72" t="s">
        <v>499</v>
      </c>
      <c r="K144" s="72" t="s">
        <v>36</v>
      </c>
      <c r="L144" s="73" t="s">
        <v>213</v>
      </c>
      <c r="M144" s="73" t="s">
        <v>86</v>
      </c>
      <c r="N144" s="74">
        <v>2670527</v>
      </c>
      <c r="O144" s="75" t="s">
        <v>474</v>
      </c>
      <c r="P144" s="76" t="s">
        <v>475</v>
      </c>
      <c r="Q144" s="172">
        <v>46226</v>
      </c>
      <c r="R144" s="77">
        <v>46409</v>
      </c>
      <c r="S144" s="176">
        <v>46211</v>
      </c>
      <c r="T144" s="78">
        <v>46217</v>
      </c>
      <c r="U144" s="78">
        <v>46217</v>
      </c>
      <c r="V144" s="79" t="s">
        <v>41</v>
      </c>
      <c r="W144" s="79" t="s">
        <v>32</v>
      </c>
      <c r="X144" s="80" t="s">
        <v>41</v>
      </c>
      <c r="Y144" s="76" t="s">
        <v>32</v>
      </c>
      <c r="Z144" s="68"/>
      <c r="AA144" s="70" t="s">
        <v>43</v>
      </c>
      <c r="AB144" s="99" t="e">
        <v>#N/A</v>
      </c>
      <c r="AC144" s="70" t="s">
        <v>43</v>
      </c>
      <c r="AD144" s="70">
        <v>2590556</v>
      </c>
      <c r="AE144" s="70" t="s">
        <v>491</v>
      </c>
    </row>
    <row r="145" spans="1:31" ht="60">
      <c r="A145" s="68" t="s">
        <v>500</v>
      </c>
      <c r="B145" s="69">
        <v>80610032973</v>
      </c>
      <c r="C145" s="68">
        <v>10001</v>
      </c>
      <c r="D145" s="68">
        <v>8535909000</v>
      </c>
      <c r="E145" s="68" t="s">
        <v>32</v>
      </c>
      <c r="F145" s="70">
        <v>3517</v>
      </c>
      <c r="G145" s="71">
        <v>47733</v>
      </c>
      <c r="H145" s="70" t="s">
        <v>141</v>
      </c>
      <c r="I145" s="70" t="s">
        <v>212</v>
      </c>
      <c r="J145" s="72">
        <v>15.31</v>
      </c>
      <c r="K145" s="72" t="s">
        <v>36</v>
      </c>
      <c r="L145" s="73" t="s">
        <v>213</v>
      </c>
      <c r="M145" s="73" t="s">
        <v>86</v>
      </c>
      <c r="N145" s="74">
        <v>2670527</v>
      </c>
      <c r="O145" s="75" t="s">
        <v>474</v>
      </c>
      <c r="P145" s="76" t="s">
        <v>475</v>
      </c>
      <c r="Q145" s="172">
        <v>46226</v>
      </c>
      <c r="R145" s="77">
        <v>46409</v>
      </c>
      <c r="S145" s="176">
        <v>46211</v>
      </c>
      <c r="T145" s="78">
        <v>46217</v>
      </c>
      <c r="U145" s="78">
        <v>46217</v>
      </c>
      <c r="V145" s="79" t="s">
        <v>41</v>
      </c>
      <c r="W145" s="79" t="s">
        <v>32</v>
      </c>
      <c r="X145" s="80" t="s">
        <v>41</v>
      </c>
      <c r="Y145" s="76" t="s">
        <v>32</v>
      </c>
      <c r="Z145" s="68"/>
      <c r="AA145" s="70" t="s">
        <v>43</v>
      </c>
      <c r="AB145" s="99" t="e">
        <v>#N/A</v>
      </c>
      <c r="AC145" s="70" t="s">
        <v>43</v>
      </c>
      <c r="AD145" s="70"/>
      <c r="AE145" s="70" t="s">
        <v>501</v>
      </c>
    </row>
    <row r="146" spans="1:31" ht="60">
      <c r="A146" s="68" t="s">
        <v>502</v>
      </c>
      <c r="B146" s="69">
        <v>80610033211</v>
      </c>
      <c r="C146" s="68">
        <v>30015</v>
      </c>
      <c r="D146" s="68">
        <v>8535909000</v>
      </c>
      <c r="E146" s="68" t="s">
        <v>32</v>
      </c>
      <c r="F146" s="70">
        <v>3517</v>
      </c>
      <c r="G146" s="71">
        <v>47733</v>
      </c>
      <c r="H146" s="70" t="s">
        <v>141</v>
      </c>
      <c r="I146" s="70" t="s">
        <v>212</v>
      </c>
      <c r="J146" s="72">
        <v>17.29</v>
      </c>
      <c r="K146" s="72" t="s">
        <v>36</v>
      </c>
      <c r="L146" s="73" t="s">
        <v>213</v>
      </c>
      <c r="M146" s="73" t="s">
        <v>86</v>
      </c>
      <c r="N146" s="74">
        <v>2670527</v>
      </c>
      <c r="O146" s="75" t="s">
        <v>474</v>
      </c>
      <c r="P146" s="76" t="s">
        <v>475</v>
      </c>
      <c r="Q146" s="172">
        <v>46226</v>
      </c>
      <c r="R146" s="77">
        <v>46409</v>
      </c>
      <c r="S146" s="176">
        <v>46211</v>
      </c>
      <c r="T146" s="78">
        <v>46217</v>
      </c>
      <c r="U146" s="78">
        <v>46217</v>
      </c>
      <c r="V146" s="79" t="s">
        <v>41</v>
      </c>
      <c r="W146" s="79" t="s">
        <v>32</v>
      </c>
      <c r="X146" s="80" t="s">
        <v>41</v>
      </c>
      <c r="Y146" s="76" t="s">
        <v>32</v>
      </c>
      <c r="Z146" s="68"/>
      <c r="AA146" s="70" t="s">
        <v>43</v>
      </c>
      <c r="AB146" s="99" t="e">
        <v>#N/A</v>
      </c>
      <c r="AC146" s="70" t="s">
        <v>43</v>
      </c>
      <c r="AD146" s="70"/>
      <c r="AE146" s="70" t="s">
        <v>501</v>
      </c>
    </row>
    <row r="147" spans="1:31" ht="60">
      <c r="A147" s="68" t="s">
        <v>503</v>
      </c>
      <c r="B147" s="69">
        <v>80610033385</v>
      </c>
      <c r="C147" s="68">
        <v>31045</v>
      </c>
      <c r="D147" s="68">
        <v>8535909000</v>
      </c>
      <c r="E147" s="68" t="s">
        <v>32</v>
      </c>
      <c r="F147" s="70">
        <v>3517</v>
      </c>
      <c r="G147" s="71">
        <v>47733</v>
      </c>
      <c r="H147" s="70" t="s">
        <v>141</v>
      </c>
      <c r="I147" s="70" t="s">
        <v>212</v>
      </c>
      <c r="J147" s="72">
        <v>16.399999999999999</v>
      </c>
      <c r="K147" s="72" t="s">
        <v>36</v>
      </c>
      <c r="L147" s="73" t="s">
        <v>213</v>
      </c>
      <c r="M147" s="73" t="s">
        <v>86</v>
      </c>
      <c r="N147" s="74">
        <v>2670527</v>
      </c>
      <c r="O147" s="75" t="s">
        <v>474</v>
      </c>
      <c r="P147" s="76" t="s">
        <v>475</v>
      </c>
      <c r="Q147" s="172">
        <v>46226</v>
      </c>
      <c r="R147" s="77">
        <v>46409</v>
      </c>
      <c r="S147" s="176">
        <v>46211</v>
      </c>
      <c r="T147" s="78">
        <v>46217</v>
      </c>
      <c r="U147" s="78">
        <v>46217</v>
      </c>
      <c r="V147" s="79" t="s">
        <v>41</v>
      </c>
      <c r="W147" s="79" t="s">
        <v>32</v>
      </c>
      <c r="X147" s="80" t="s">
        <v>41</v>
      </c>
      <c r="Y147" s="76" t="s">
        <v>32</v>
      </c>
      <c r="Z147" s="68"/>
      <c r="AA147" s="70" t="s">
        <v>43</v>
      </c>
      <c r="AB147" s="99" t="e">
        <v>#N/A</v>
      </c>
      <c r="AC147" s="70" t="s">
        <v>43</v>
      </c>
      <c r="AD147" s="70"/>
      <c r="AE147" s="70" t="s">
        <v>501</v>
      </c>
    </row>
    <row r="148" spans="1:31" ht="60">
      <c r="A148" s="68" t="s">
        <v>504</v>
      </c>
      <c r="B148" s="69">
        <v>80610033393</v>
      </c>
      <c r="C148" s="68">
        <v>31049</v>
      </c>
      <c r="D148" s="68">
        <v>8535909000</v>
      </c>
      <c r="E148" s="68" t="s">
        <v>32</v>
      </c>
      <c r="F148" s="70">
        <v>3517</v>
      </c>
      <c r="G148" s="71">
        <v>47733</v>
      </c>
      <c r="H148" s="70" t="s">
        <v>141</v>
      </c>
      <c r="I148" s="70" t="s">
        <v>212</v>
      </c>
      <c r="J148" s="72">
        <v>19.95</v>
      </c>
      <c r="K148" s="72" t="s">
        <v>36</v>
      </c>
      <c r="L148" s="73" t="s">
        <v>213</v>
      </c>
      <c r="M148" s="73" t="s">
        <v>86</v>
      </c>
      <c r="N148" s="74">
        <v>2670527</v>
      </c>
      <c r="O148" s="75" t="s">
        <v>474</v>
      </c>
      <c r="P148" s="76" t="s">
        <v>475</v>
      </c>
      <c r="Q148" s="172">
        <v>46226</v>
      </c>
      <c r="R148" s="77">
        <v>46409</v>
      </c>
      <c r="S148" s="176">
        <v>46211</v>
      </c>
      <c r="T148" s="78">
        <v>46217</v>
      </c>
      <c r="U148" s="78">
        <v>46217</v>
      </c>
      <c r="V148" s="79" t="s">
        <v>41</v>
      </c>
      <c r="W148" s="79" t="s">
        <v>32</v>
      </c>
      <c r="X148" s="80" t="s">
        <v>41</v>
      </c>
      <c r="Y148" s="76" t="s">
        <v>32</v>
      </c>
      <c r="Z148" s="68"/>
      <c r="AA148" s="70" t="s">
        <v>43</v>
      </c>
      <c r="AB148" s="99" t="e">
        <v>#N/A</v>
      </c>
      <c r="AC148" s="70" t="s">
        <v>43</v>
      </c>
      <c r="AD148" s="70"/>
      <c r="AE148" s="70" t="s">
        <v>501</v>
      </c>
    </row>
    <row r="149" spans="1:31" ht="60">
      <c r="A149" s="68" t="s">
        <v>505</v>
      </c>
      <c r="B149" s="69">
        <v>80610033419</v>
      </c>
      <c r="C149" s="68">
        <v>31056</v>
      </c>
      <c r="D149" s="68">
        <v>8535909000</v>
      </c>
      <c r="E149" s="68" t="s">
        <v>32</v>
      </c>
      <c r="F149" s="70">
        <v>3517</v>
      </c>
      <c r="G149" s="71">
        <v>47733</v>
      </c>
      <c r="H149" s="70" t="s">
        <v>141</v>
      </c>
      <c r="I149" s="70" t="s">
        <v>212</v>
      </c>
      <c r="J149" s="72">
        <v>28.18</v>
      </c>
      <c r="K149" s="72" t="s">
        <v>36</v>
      </c>
      <c r="L149" s="73" t="s">
        <v>213</v>
      </c>
      <c r="M149" s="73" t="s">
        <v>86</v>
      </c>
      <c r="N149" s="74">
        <v>2670527</v>
      </c>
      <c r="O149" s="75" t="s">
        <v>474</v>
      </c>
      <c r="P149" s="76" t="s">
        <v>475</v>
      </c>
      <c r="Q149" s="172">
        <v>46226</v>
      </c>
      <c r="R149" s="77">
        <v>46409</v>
      </c>
      <c r="S149" s="176">
        <v>46211</v>
      </c>
      <c r="T149" s="78">
        <v>46217</v>
      </c>
      <c r="U149" s="78">
        <v>46217</v>
      </c>
      <c r="V149" s="79" t="s">
        <v>41</v>
      </c>
      <c r="W149" s="79" t="s">
        <v>32</v>
      </c>
      <c r="X149" s="80" t="s">
        <v>41</v>
      </c>
      <c r="Y149" s="76" t="s">
        <v>32</v>
      </c>
      <c r="Z149" s="68"/>
      <c r="AA149" s="70" t="s">
        <v>43</v>
      </c>
      <c r="AB149" s="99" t="e">
        <v>#N/A</v>
      </c>
      <c r="AC149" s="70" t="s">
        <v>43</v>
      </c>
      <c r="AD149" s="70"/>
      <c r="AE149" s="70" t="s">
        <v>501</v>
      </c>
    </row>
    <row r="150" spans="1:31" ht="60">
      <c r="A150" s="68" t="s">
        <v>506</v>
      </c>
      <c r="B150" s="69">
        <v>80610033492</v>
      </c>
      <c r="C150" s="68">
        <v>31172</v>
      </c>
      <c r="D150" s="68">
        <v>8535909000</v>
      </c>
      <c r="E150" s="68" t="s">
        <v>32</v>
      </c>
      <c r="F150" s="70">
        <v>3517</v>
      </c>
      <c r="G150" s="71">
        <v>47733</v>
      </c>
      <c r="H150" s="70" t="s">
        <v>141</v>
      </c>
      <c r="I150" s="70" t="s">
        <v>212</v>
      </c>
      <c r="J150" s="72">
        <v>71.88</v>
      </c>
      <c r="K150" s="72" t="s">
        <v>36</v>
      </c>
      <c r="L150" s="73" t="s">
        <v>213</v>
      </c>
      <c r="M150" s="73" t="s">
        <v>86</v>
      </c>
      <c r="N150" s="74">
        <v>2670527</v>
      </c>
      <c r="O150" s="75" t="s">
        <v>474</v>
      </c>
      <c r="P150" s="76" t="s">
        <v>475</v>
      </c>
      <c r="Q150" s="172">
        <v>46226</v>
      </c>
      <c r="R150" s="77">
        <v>46409</v>
      </c>
      <c r="S150" s="176">
        <v>46211</v>
      </c>
      <c r="T150" s="78">
        <v>46217</v>
      </c>
      <c r="U150" s="78">
        <v>46217</v>
      </c>
      <c r="V150" s="79" t="s">
        <v>41</v>
      </c>
      <c r="W150" s="79" t="s">
        <v>32</v>
      </c>
      <c r="X150" s="80" t="s">
        <v>41</v>
      </c>
      <c r="Y150" s="76" t="s">
        <v>32</v>
      </c>
      <c r="Z150" s="68"/>
      <c r="AA150" s="70" t="s">
        <v>43</v>
      </c>
      <c r="AB150" s="99" t="e">
        <v>#N/A</v>
      </c>
      <c r="AC150" s="70" t="s">
        <v>41</v>
      </c>
      <c r="AD150" s="70"/>
      <c r="AE150" s="70"/>
    </row>
    <row r="151" spans="1:31" ht="60">
      <c r="A151" s="68" t="s">
        <v>507</v>
      </c>
      <c r="B151" s="69">
        <v>80610033245</v>
      </c>
      <c r="C151" s="68">
        <v>30019</v>
      </c>
      <c r="D151" s="68">
        <v>8535909000</v>
      </c>
      <c r="E151" s="68" t="s">
        <v>32</v>
      </c>
      <c r="F151" s="70">
        <v>3517</v>
      </c>
      <c r="G151" s="71">
        <v>47733</v>
      </c>
      <c r="H151" s="70" t="s">
        <v>141</v>
      </c>
      <c r="I151" s="70" t="s">
        <v>212</v>
      </c>
      <c r="J151" s="72">
        <v>19.91</v>
      </c>
      <c r="K151" s="72" t="s">
        <v>36</v>
      </c>
      <c r="L151" s="73" t="s">
        <v>213</v>
      </c>
      <c r="M151" s="73" t="s">
        <v>38</v>
      </c>
      <c r="N151" s="74">
        <v>2670527</v>
      </c>
      <c r="O151" s="75" t="s">
        <v>474</v>
      </c>
      <c r="P151" s="76" t="s">
        <v>475</v>
      </c>
      <c r="Q151" s="172">
        <v>46226</v>
      </c>
      <c r="R151" s="77">
        <v>46409</v>
      </c>
      <c r="S151" s="176">
        <v>46211</v>
      </c>
      <c r="T151" s="78">
        <v>46217</v>
      </c>
      <c r="U151" s="78">
        <v>46217</v>
      </c>
      <c r="V151" s="79" t="s">
        <v>41</v>
      </c>
      <c r="W151" s="79" t="s">
        <v>32</v>
      </c>
      <c r="X151" s="80" t="s">
        <v>41</v>
      </c>
      <c r="Y151" s="76" t="s">
        <v>32</v>
      </c>
      <c r="Z151" s="68"/>
      <c r="AA151" s="70" t="s">
        <v>43</v>
      </c>
      <c r="AB151" s="99" t="e">
        <v>#N/A</v>
      </c>
      <c r="AC151" s="70" t="s">
        <v>43</v>
      </c>
      <c r="AD151" s="70"/>
      <c r="AE151" s="70"/>
    </row>
    <row r="152" spans="1:31" ht="30">
      <c r="A152" s="68" t="str">
        <f>+B152&amp;I152</f>
        <v>604551143673M COMPANY</v>
      </c>
      <c r="B152" s="69">
        <v>60455114367</v>
      </c>
      <c r="C152" s="68" t="s">
        <v>32</v>
      </c>
      <c r="D152" s="68">
        <v>3405300000</v>
      </c>
      <c r="E152" s="68" t="s">
        <v>32</v>
      </c>
      <c r="F152" s="70" t="s">
        <v>508</v>
      </c>
      <c r="G152" s="100" t="s">
        <v>32</v>
      </c>
      <c r="H152" s="70" t="s">
        <v>509</v>
      </c>
      <c r="I152" s="70" t="s">
        <v>35</v>
      </c>
      <c r="J152" s="101">
        <v>10.26</v>
      </c>
      <c r="K152" s="72" t="s">
        <v>36</v>
      </c>
      <c r="L152" s="73" t="s">
        <v>37</v>
      </c>
      <c r="M152" s="73" t="s">
        <v>431</v>
      </c>
      <c r="N152" s="74">
        <v>2671520</v>
      </c>
      <c r="O152" s="75" t="s">
        <v>510</v>
      </c>
      <c r="P152" s="76" t="s">
        <v>511</v>
      </c>
      <c r="Q152" s="172">
        <v>46226</v>
      </c>
      <c r="R152" s="77">
        <v>46410</v>
      </c>
      <c r="S152" s="176">
        <v>46213</v>
      </c>
      <c r="T152" s="78">
        <v>46217</v>
      </c>
      <c r="U152" s="78">
        <v>46217</v>
      </c>
      <c r="V152" s="79" t="s">
        <v>41</v>
      </c>
      <c r="W152" s="79" t="s">
        <v>32</v>
      </c>
      <c r="X152" s="80" t="s">
        <v>41</v>
      </c>
      <c r="Y152" s="76" t="s">
        <v>32</v>
      </c>
      <c r="Z152" s="68"/>
      <c r="AA152" s="70" t="s">
        <v>43</v>
      </c>
      <c r="AB152" s="99" t="e">
        <f>+VLOOKUP(A152,'[1]VALID RIM NUEVAM'!A$1:O$65536,15,0)</f>
        <v>#N/A</v>
      </c>
      <c r="AC152" s="70"/>
      <c r="AD152" s="70"/>
      <c r="AE152" s="70"/>
    </row>
    <row r="153" spans="1:31" ht="30">
      <c r="A153" s="68" t="s">
        <v>512</v>
      </c>
      <c r="B153" s="69" t="s">
        <v>377</v>
      </c>
      <c r="C153" s="68" t="s">
        <v>378</v>
      </c>
      <c r="D153" s="68">
        <v>4005919000</v>
      </c>
      <c r="E153" s="68" t="s">
        <v>32</v>
      </c>
      <c r="F153" s="70">
        <v>3539</v>
      </c>
      <c r="G153" s="71">
        <v>47744</v>
      </c>
      <c r="H153" s="70" t="s">
        <v>122</v>
      </c>
      <c r="I153" s="70" t="s">
        <v>35</v>
      </c>
      <c r="J153" s="72">
        <v>2</v>
      </c>
      <c r="K153" s="72" t="s">
        <v>36</v>
      </c>
      <c r="L153" s="73" t="s">
        <v>513</v>
      </c>
      <c r="M153" s="73" t="s">
        <v>96</v>
      </c>
      <c r="N153" s="74">
        <v>2670785</v>
      </c>
      <c r="O153" s="75" t="s">
        <v>514</v>
      </c>
      <c r="P153" s="76" t="s">
        <v>515</v>
      </c>
      <c r="Q153" s="172">
        <v>46227</v>
      </c>
      <c r="R153" s="77">
        <v>46411</v>
      </c>
      <c r="S153" s="176">
        <v>46211</v>
      </c>
      <c r="T153" s="78">
        <v>46217</v>
      </c>
      <c r="U153" s="78">
        <v>46218</v>
      </c>
      <c r="V153" s="79" t="s">
        <v>41</v>
      </c>
      <c r="W153" s="79" t="s">
        <v>32</v>
      </c>
      <c r="X153" s="80" t="s">
        <v>41</v>
      </c>
      <c r="Y153" s="76" t="s">
        <v>32</v>
      </c>
      <c r="Z153" s="68"/>
      <c r="AA153" s="70" t="s">
        <v>43</v>
      </c>
      <c r="AB153" s="99" t="e">
        <f>+VLOOKUP(A153,'[1]VALID RIM NUEVAM'!A$1:O$65536,15,0)</f>
        <v>#N/A</v>
      </c>
      <c r="AC153" s="70"/>
      <c r="AD153" s="70"/>
      <c r="AE153" s="70"/>
    </row>
    <row r="154" spans="1:31" ht="30">
      <c r="A154" s="68" t="s">
        <v>516</v>
      </c>
      <c r="B154" s="69" t="s">
        <v>517</v>
      </c>
      <c r="C154" s="68" t="s">
        <v>518</v>
      </c>
      <c r="D154" s="68">
        <v>3919100000</v>
      </c>
      <c r="E154" s="68" t="s">
        <v>32</v>
      </c>
      <c r="F154" s="70">
        <v>3538</v>
      </c>
      <c r="G154" s="71">
        <v>47744</v>
      </c>
      <c r="H154" s="70" t="s">
        <v>122</v>
      </c>
      <c r="I154" s="70" t="s">
        <v>35</v>
      </c>
      <c r="J154" s="72" t="s">
        <v>519</v>
      </c>
      <c r="K154" s="72" t="s">
        <v>36</v>
      </c>
      <c r="L154" s="73" t="s">
        <v>142</v>
      </c>
      <c r="M154" s="73" t="s">
        <v>96</v>
      </c>
      <c r="N154" s="74">
        <v>2670785</v>
      </c>
      <c r="O154" s="75" t="s">
        <v>514</v>
      </c>
      <c r="P154" s="76" t="s">
        <v>515</v>
      </c>
      <c r="Q154" s="172">
        <v>46227</v>
      </c>
      <c r="R154" s="77">
        <v>46411</v>
      </c>
      <c r="S154" s="176">
        <v>46211</v>
      </c>
      <c r="T154" s="78">
        <v>46217</v>
      </c>
      <c r="U154" s="78">
        <v>46218</v>
      </c>
      <c r="V154" s="79" t="s">
        <v>41</v>
      </c>
      <c r="W154" s="79" t="s">
        <v>32</v>
      </c>
      <c r="X154" s="80" t="s">
        <v>41</v>
      </c>
      <c r="Y154" s="76" t="s">
        <v>32</v>
      </c>
      <c r="Z154" s="68"/>
      <c r="AA154" s="70" t="s">
        <v>43</v>
      </c>
      <c r="AB154" s="99" t="e">
        <f>+VLOOKUP(A154,'[1]VALID RIM NUEVAM'!A$1:O$65536,15,0)</f>
        <v>#N/A</v>
      </c>
      <c r="AC154" s="70"/>
      <c r="AD154" s="70"/>
      <c r="AE154" s="70"/>
    </row>
    <row r="155" spans="1:31" ht="30">
      <c r="A155" s="68" t="s">
        <v>520</v>
      </c>
      <c r="B155" s="69" t="s">
        <v>521</v>
      </c>
      <c r="C155" s="68" t="s">
        <v>522</v>
      </c>
      <c r="D155" s="68">
        <v>3919100000</v>
      </c>
      <c r="E155" s="68" t="s">
        <v>32</v>
      </c>
      <c r="F155" s="70">
        <v>3538</v>
      </c>
      <c r="G155" s="71">
        <v>47744</v>
      </c>
      <c r="H155" s="70" t="s">
        <v>122</v>
      </c>
      <c r="I155" s="70" t="s">
        <v>35</v>
      </c>
      <c r="J155" s="72" t="s">
        <v>463</v>
      </c>
      <c r="K155" s="72" t="s">
        <v>36</v>
      </c>
      <c r="L155" s="73" t="s">
        <v>142</v>
      </c>
      <c r="M155" s="73" t="s">
        <v>96</v>
      </c>
      <c r="N155" s="74">
        <v>2670785</v>
      </c>
      <c r="O155" s="75" t="s">
        <v>514</v>
      </c>
      <c r="P155" s="76" t="s">
        <v>515</v>
      </c>
      <c r="Q155" s="172">
        <v>46227</v>
      </c>
      <c r="R155" s="77">
        <v>46411</v>
      </c>
      <c r="S155" s="176">
        <v>46211</v>
      </c>
      <c r="T155" s="78">
        <v>46217</v>
      </c>
      <c r="U155" s="78">
        <v>46218</v>
      </c>
      <c r="V155" s="79" t="s">
        <v>41</v>
      </c>
      <c r="W155" s="79" t="s">
        <v>32</v>
      </c>
      <c r="X155" s="80" t="s">
        <v>41</v>
      </c>
      <c r="Y155" s="76" t="s">
        <v>32</v>
      </c>
      <c r="Z155" s="68"/>
      <c r="AA155" s="70" t="s">
        <v>43</v>
      </c>
      <c r="AB155" s="99" t="e">
        <f>+VLOOKUP(A155,'[1]VALID RIM NUEVAM'!A$1:O$65536,15,0)</f>
        <v>#N/A</v>
      </c>
      <c r="AC155" s="70"/>
      <c r="AD155" s="70"/>
      <c r="AE155" s="70"/>
    </row>
    <row r="156" spans="1:31" ht="30">
      <c r="A156" s="68" t="s">
        <v>523</v>
      </c>
      <c r="B156" s="69" t="s">
        <v>524</v>
      </c>
      <c r="C156" s="68" t="s">
        <v>525</v>
      </c>
      <c r="D156" s="68">
        <v>3919100000</v>
      </c>
      <c r="E156" s="68" t="s">
        <v>32</v>
      </c>
      <c r="F156" s="70">
        <v>3538</v>
      </c>
      <c r="G156" s="71">
        <v>47744</v>
      </c>
      <c r="H156" s="70" t="s">
        <v>122</v>
      </c>
      <c r="I156" s="70" t="s">
        <v>35</v>
      </c>
      <c r="J156" s="72" t="s">
        <v>526</v>
      </c>
      <c r="K156" s="72" t="s">
        <v>36</v>
      </c>
      <c r="L156" s="73" t="s">
        <v>142</v>
      </c>
      <c r="M156" s="73" t="s">
        <v>96</v>
      </c>
      <c r="N156" s="74">
        <v>2670785</v>
      </c>
      <c r="O156" s="75" t="s">
        <v>514</v>
      </c>
      <c r="P156" s="76" t="s">
        <v>515</v>
      </c>
      <c r="Q156" s="172">
        <v>46227</v>
      </c>
      <c r="R156" s="77">
        <v>46411</v>
      </c>
      <c r="S156" s="176">
        <v>46211</v>
      </c>
      <c r="T156" s="78">
        <v>46217</v>
      </c>
      <c r="U156" s="78">
        <v>46218</v>
      </c>
      <c r="V156" s="79" t="s">
        <v>41</v>
      </c>
      <c r="W156" s="79" t="s">
        <v>32</v>
      </c>
      <c r="X156" s="80" t="s">
        <v>41</v>
      </c>
      <c r="Y156" s="76" t="s">
        <v>32</v>
      </c>
      <c r="Z156" s="68"/>
      <c r="AA156" s="70" t="s">
        <v>43</v>
      </c>
      <c r="AB156" s="99" t="e">
        <f>+VLOOKUP(A156,'[1]VALID RIM NUEVAM'!A$1:O$65536,15,0)</f>
        <v>#N/A</v>
      </c>
      <c r="AC156" s="70"/>
      <c r="AD156" s="70"/>
      <c r="AE156" s="70"/>
    </row>
    <row r="157" spans="1:31" ht="30">
      <c r="A157" s="68" t="s">
        <v>527</v>
      </c>
      <c r="B157" s="69" t="s">
        <v>528</v>
      </c>
      <c r="C157" s="68" t="s">
        <v>529</v>
      </c>
      <c r="D157" s="68">
        <v>3919100000</v>
      </c>
      <c r="E157" s="68" t="s">
        <v>32</v>
      </c>
      <c r="F157" s="70">
        <v>3538</v>
      </c>
      <c r="G157" s="71">
        <v>47744</v>
      </c>
      <c r="H157" s="70" t="s">
        <v>122</v>
      </c>
      <c r="I157" s="70" t="s">
        <v>35</v>
      </c>
      <c r="J157" s="72" t="s">
        <v>415</v>
      </c>
      <c r="K157" s="72" t="s">
        <v>36</v>
      </c>
      <c r="L157" s="73" t="s">
        <v>142</v>
      </c>
      <c r="M157" s="73" t="s">
        <v>96</v>
      </c>
      <c r="N157" s="74">
        <v>2670785</v>
      </c>
      <c r="O157" s="75" t="s">
        <v>514</v>
      </c>
      <c r="P157" s="76" t="s">
        <v>515</v>
      </c>
      <c r="Q157" s="172">
        <v>46227</v>
      </c>
      <c r="R157" s="77">
        <v>46411</v>
      </c>
      <c r="S157" s="176">
        <v>46211</v>
      </c>
      <c r="T157" s="78">
        <v>46217</v>
      </c>
      <c r="U157" s="78">
        <v>46218</v>
      </c>
      <c r="V157" s="79" t="s">
        <v>41</v>
      </c>
      <c r="W157" s="79" t="s">
        <v>32</v>
      </c>
      <c r="X157" s="80" t="s">
        <v>41</v>
      </c>
      <c r="Y157" s="76" t="s">
        <v>32</v>
      </c>
      <c r="Z157" s="68"/>
      <c r="AA157" s="70" t="s">
        <v>43</v>
      </c>
      <c r="AB157" s="99" t="e">
        <f>+VLOOKUP(A157,'[1]VALID RIM NUEVAM'!A$1:O$65536,15,0)</f>
        <v>#N/A</v>
      </c>
      <c r="AC157" s="70"/>
      <c r="AD157" s="70"/>
      <c r="AE157" s="70"/>
    </row>
    <row r="158" spans="1:31" ht="30">
      <c r="A158" s="68" t="s">
        <v>530</v>
      </c>
      <c r="B158" s="69" t="s">
        <v>531</v>
      </c>
      <c r="C158" s="68" t="s">
        <v>140</v>
      </c>
      <c r="D158" s="68">
        <v>3919100000</v>
      </c>
      <c r="E158" s="68" t="s">
        <v>32</v>
      </c>
      <c r="F158" s="70">
        <v>3538</v>
      </c>
      <c r="G158" s="71">
        <v>47744</v>
      </c>
      <c r="H158" s="70" t="s">
        <v>122</v>
      </c>
      <c r="I158" s="70" t="s">
        <v>35</v>
      </c>
      <c r="J158" s="72" t="s">
        <v>532</v>
      </c>
      <c r="K158" s="72" t="s">
        <v>36</v>
      </c>
      <c r="L158" s="73" t="s">
        <v>142</v>
      </c>
      <c r="M158" s="73" t="s">
        <v>96</v>
      </c>
      <c r="N158" s="74">
        <v>2670785</v>
      </c>
      <c r="O158" s="75" t="s">
        <v>514</v>
      </c>
      <c r="P158" s="76" t="s">
        <v>515</v>
      </c>
      <c r="Q158" s="172">
        <v>46227</v>
      </c>
      <c r="R158" s="77">
        <v>46411</v>
      </c>
      <c r="S158" s="176">
        <v>46211</v>
      </c>
      <c r="T158" s="78">
        <v>46217</v>
      </c>
      <c r="U158" s="78">
        <v>46218</v>
      </c>
      <c r="V158" s="79" t="s">
        <v>41</v>
      </c>
      <c r="W158" s="79" t="s">
        <v>32</v>
      </c>
      <c r="X158" s="80" t="s">
        <v>41</v>
      </c>
      <c r="Y158" s="76" t="s">
        <v>32</v>
      </c>
      <c r="Z158" s="68"/>
      <c r="AA158" s="70" t="s">
        <v>43</v>
      </c>
      <c r="AB158" s="99" t="e">
        <f>+VLOOKUP(A158,'[1]VALID RIM NUEVAM'!A$1:O$65536,15,0)</f>
        <v>#N/A</v>
      </c>
      <c r="AC158" s="70"/>
      <c r="AD158" s="70"/>
      <c r="AE158" s="70"/>
    </row>
    <row r="159" spans="1:31" ht="30">
      <c r="A159" s="68" t="s">
        <v>533</v>
      </c>
      <c r="B159" s="69" t="s">
        <v>139</v>
      </c>
      <c r="C159" s="68" t="s">
        <v>140</v>
      </c>
      <c r="D159" s="68">
        <v>3919100000</v>
      </c>
      <c r="E159" s="68" t="s">
        <v>32</v>
      </c>
      <c r="F159" s="70">
        <v>3538</v>
      </c>
      <c r="G159" s="71">
        <v>47744</v>
      </c>
      <c r="H159" s="70" t="s">
        <v>122</v>
      </c>
      <c r="I159" s="70" t="s">
        <v>35</v>
      </c>
      <c r="J159" s="72">
        <v>0.56000000000000005</v>
      </c>
      <c r="K159" s="72" t="s">
        <v>36</v>
      </c>
      <c r="L159" s="73" t="s">
        <v>142</v>
      </c>
      <c r="M159" s="73" t="s">
        <v>96</v>
      </c>
      <c r="N159" s="74">
        <v>2670785</v>
      </c>
      <c r="O159" s="75" t="s">
        <v>514</v>
      </c>
      <c r="P159" s="76" t="s">
        <v>515</v>
      </c>
      <c r="Q159" s="172">
        <v>46227</v>
      </c>
      <c r="R159" s="77">
        <v>46411</v>
      </c>
      <c r="S159" s="176">
        <v>46211</v>
      </c>
      <c r="T159" s="78">
        <v>46217</v>
      </c>
      <c r="U159" s="78">
        <v>46218</v>
      </c>
      <c r="V159" s="79" t="s">
        <v>41</v>
      </c>
      <c r="W159" s="79" t="s">
        <v>32</v>
      </c>
      <c r="X159" s="80" t="s">
        <v>41</v>
      </c>
      <c r="Y159" s="76" t="s">
        <v>32</v>
      </c>
      <c r="Z159" s="68"/>
      <c r="AA159" s="70" t="s">
        <v>43</v>
      </c>
      <c r="AB159" s="99" t="e">
        <f>+VLOOKUP(A159,'[1]VALID RIM NUEVAM'!A$1:O$65536,15,0)</f>
        <v>#N/A</v>
      </c>
      <c r="AC159" s="70"/>
      <c r="AD159" s="70"/>
      <c r="AE159" s="70"/>
    </row>
    <row r="160" spans="1:31" ht="30">
      <c r="A160" s="68" t="s">
        <v>534</v>
      </c>
      <c r="B160" s="69" t="s">
        <v>535</v>
      </c>
      <c r="C160" s="68" t="s">
        <v>536</v>
      </c>
      <c r="D160" s="68">
        <v>3919100000</v>
      </c>
      <c r="E160" s="68" t="s">
        <v>32</v>
      </c>
      <c r="F160" s="70">
        <v>3538</v>
      </c>
      <c r="G160" s="71">
        <v>47744</v>
      </c>
      <c r="H160" s="70" t="s">
        <v>122</v>
      </c>
      <c r="I160" s="70" t="s">
        <v>35</v>
      </c>
      <c r="J160" s="72" t="s">
        <v>453</v>
      </c>
      <c r="K160" s="72" t="s">
        <v>36</v>
      </c>
      <c r="L160" s="73" t="s">
        <v>142</v>
      </c>
      <c r="M160" s="73" t="s">
        <v>96</v>
      </c>
      <c r="N160" s="74">
        <v>2670785</v>
      </c>
      <c r="O160" s="75" t="s">
        <v>514</v>
      </c>
      <c r="P160" s="76" t="s">
        <v>515</v>
      </c>
      <c r="Q160" s="172">
        <v>46227</v>
      </c>
      <c r="R160" s="77">
        <v>46411</v>
      </c>
      <c r="S160" s="176">
        <v>46211</v>
      </c>
      <c r="T160" s="78">
        <v>46217</v>
      </c>
      <c r="U160" s="78">
        <v>46218</v>
      </c>
      <c r="V160" s="79" t="s">
        <v>41</v>
      </c>
      <c r="W160" s="79" t="s">
        <v>32</v>
      </c>
      <c r="X160" s="80" t="s">
        <v>41</v>
      </c>
      <c r="Y160" s="76" t="s">
        <v>32</v>
      </c>
      <c r="Z160" s="68"/>
      <c r="AA160" s="70" t="s">
        <v>43</v>
      </c>
      <c r="AB160" s="99" t="e">
        <f>+VLOOKUP(A160,'[1]VALID RIM NUEVAM'!A$1:O$65536,15,0)</f>
        <v>#N/A</v>
      </c>
      <c r="AC160" s="70"/>
      <c r="AD160" s="70"/>
      <c r="AE160" s="70"/>
    </row>
    <row r="161" spans="1:31" ht="30">
      <c r="A161" s="68" t="s">
        <v>537</v>
      </c>
      <c r="B161" s="69" t="s">
        <v>538</v>
      </c>
      <c r="C161" s="68" t="s">
        <v>539</v>
      </c>
      <c r="D161" s="68">
        <v>3919100000</v>
      </c>
      <c r="E161" s="68" t="s">
        <v>32</v>
      </c>
      <c r="F161" s="70">
        <v>3538</v>
      </c>
      <c r="G161" s="71">
        <v>47744</v>
      </c>
      <c r="H161" s="70" t="s">
        <v>122</v>
      </c>
      <c r="I161" s="70" t="s">
        <v>35</v>
      </c>
      <c r="J161" s="72" t="s">
        <v>453</v>
      </c>
      <c r="K161" s="72" t="s">
        <v>36</v>
      </c>
      <c r="L161" s="73" t="s">
        <v>142</v>
      </c>
      <c r="M161" s="73" t="s">
        <v>96</v>
      </c>
      <c r="N161" s="74">
        <v>2670785</v>
      </c>
      <c r="O161" s="75" t="s">
        <v>514</v>
      </c>
      <c r="P161" s="76" t="s">
        <v>515</v>
      </c>
      <c r="Q161" s="172">
        <v>46227</v>
      </c>
      <c r="R161" s="77">
        <v>46411</v>
      </c>
      <c r="S161" s="176">
        <v>46211</v>
      </c>
      <c r="T161" s="78">
        <v>46217</v>
      </c>
      <c r="U161" s="78">
        <v>46218</v>
      </c>
      <c r="V161" s="79" t="s">
        <v>41</v>
      </c>
      <c r="W161" s="79" t="s">
        <v>32</v>
      </c>
      <c r="X161" s="80" t="s">
        <v>41</v>
      </c>
      <c r="Y161" s="76" t="s">
        <v>32</v>
      </c>
      <c r="Z161" s="68"/>
      <c r="AA161" s="70" t="s">
        <v>43</v>
      </c>
      <c r="AB161" s="99" t="e">
        <f>+VLOOKUP(A161,'[1]VALID RIM NUEVAM'!A$1:O$65536,15,0)</f>
        <v>#N/A</v>
      </c>
      <c r="AC161" s="70"/>
      <c r="AD161" s="70"/>
      <c r="AE161" s="70"/>
    </row>
    <row r="162" spans="1:31" ht="30">
      <c r="A162" s="68" t="s">
        <v>540</v>
      </c>
      <c r="B162" s="69" t="s">
        <v>541</v>
      </c>
      <c r="C162" s="68" t="s">
        <v>542</v>
      </c>
      <c r="D162" s="68">
        <v>3919100000</v>
      </c>
      <c r="E162" s="68" t="s">
        <v>32</v>
      </c>
      <c r="F162" s="70">
        <v>3538</v>
      </c>
      <c r="G162" s="71">
        <v>47744</v>
      </c>
      <c r="H162" s="70" t="s">
        <v>122</v>
      </c>
      <c r="I162" s="70" t="s">
        <v>35</v>
      </c>
      <c r="J162" s="72" t="s">
        <v>463</v>
      </c>
      <c r="K162" s="72" t="s">
        <v>36</v>
      </c>
      <c r="L162" s="73" t="s">
        <v>142</v>
      </c>
      <c r="M162" s="73" t="s">
        <v>96</v>
      </c>
      <c r="N162" s="74">
        <v>2670785</v>
      </c>
      <c r="O162" s="75" t="s">
        <v>514</v>
      </c>
      <c r="P162" s="76" t="s">
        <v>515</v>
      </c>
      <c r="Q162" s="172">
        <v>46227</v>
      </c>
      <c r="R162" s="77">
        <v>46411</v>
      </c>
      <c r="S162" s="176">
        <v>46211</v>
      </c>
      <c r="T162" s="78">
        <v>46217</v>
      </c>
      <c r="U162" s="78">
        <v>46218</v>
      </c>
      <c r="V162" s="79" t="s">
        <v>41</v>
      </c>
      <c r="W162" s="79" t="s">
        <v>32</v>
      </c>
      <c r="X162" s="80" t="s">
        <v>41</v>
      </c>
      <c r="Y162" s="76" t="s">
        <v>32</v>
      </c>
      <c r="Z162" s="68"/>
      <c r="AA162" s="70" t="s">
        <v>43</v>
      </c>
      <c r="AB162" s="99" t="e">
        <f>+VLOOKUP(A162,'[1]VALID RIM NUEVAM'!A$1:O$65536,15,0)</f>
        <v>#N/A</v>
      </c>
      <c r="AC162" s="70"/>
      <c r="AD162" s="70"/>
      <c r="AE162" s="70"/>
    </row>
    <row r="163" spans="1:31" ht="30">
      <c r="A163" s="68" t="s">
        <v>543</v>
      </c>
      <c r="B163" s="69" t="s">
        <v>544</v>
      </c>
      <c r="C163" s="68" t="s">
        <v>545</v>
      </c>
      <c r="D163" s="68">
        <v>3919100000</v>
      </c>
      <c r="E163" s="68" t="s">
        <v>32</v>
      </c>
      <c r="F163" s="70">
        <v>3538</v>
      </c>
      <c r="G163" s="71">
        <v>47744</v>
      </c>
      <c r="H163" s="70" t="s">
        <v>122</v>
      </c>
      <c r="I163" s="70" t="s">
        <v>35</v>
      </c>
      <c r="J163" s="72" t="s">
        <v>546</v>
      </c>
      <c r="K163" s="72" t="s">
        <v>36</v>
      </c>
      <c r="L163" s="73" t="s">
        <v>142</v>
      </c>
      <c r="M163" s="73" t="s">
        <v>96</v>
      </c>
      <c r="N163" s="74">
        <v>2670785</v>
      </c>
      <c r="O163" s="75" t="s">
        <v>514</v>
      </c>
      <c r="P163" s="76" t="s">
        <v>515</v>
      </c>
      <c r="Q163" s="172">
        <v>46227</v>
      </c>
      <c r="R163" s="77">
        <v>46411</v>
      </c>
      <c r="S163" s="176">
        <v>46211</v>
      </c>
      <c r="T163" s="78">
        <v>46217</v>
      </c>
      <c r="U163" s="78">
        <v>46218</v>
      </c>
      <c r="V163" s="79" t="s">
        <v>41</v>
      </c>
      <c r="W163" s="79" t="s">
        <v>32</v>
      </c>
      <c r="X163" s="80" t="s">
        <v>41</v>
      </c>
      <c r="Y163" s="76" t="s">
        <v>32</v>
      </c>
      <c r="Z163" s="68"/>
      <c r="AA163" s="70" t="s">
        <v>43</v>
      </c>
      <c r="AB163" s="99" t="e">
        <f>+VLOOKUP(A163,'[1]VALID RIM NUEVAM'!A$1:O$65536,15,0)</f>
        <v>#N/A</v>
      </c>
      <c r="AC163" s="70"/>
      <c r="AD163" s="70"/>
      <c r="AE163" s="70"/>
    </row>
    <row r="164" spans="1:31" ht="30">
      <c r="A164" s="68" t="s">
        <v>547</v>
      </c>
      <c r="B164" s="69" t="s">
        <v>548</v>
      </c>
      <c r="C164" s="68" t="s">
        <v>140</v>
      </c>
      <c r="D164" s="68">
        <v>3919100000</v>
      </c>
      <c r="E164" s="68" t="s">
        <v>32</v>
      </c>
      <c r="F164" s="70">
        <v>3538</v>
      </c>
      <c r="G164" s="71">
        <v>47744</v>
      </c>
      <c r="H164" s="70" t="s">
        <v>122</v>
      </c>
      <c r="I164" s="70" t="s">
        <v>35</v>
      </c>
      <c r="J164" s="72">
        <v>1</v>
      </c>
      <c r="K164" s="72" t="s">
        <v>36</v>
      </c>
      <c r="L164" s="73" t="s">
        <v>549</v>
      </c>
      <c r="M164" s="73" t="s">
        <v>96</v>
      </c>
      <c r="N164" s="74">
        <v>2670785</v>
      </c>
      <c r="O164" s="75" t="s">
        <v>514</v>
      </c>
      <c r="P164" s="76" t="s">
        <v>515</v>
      </c>
      <c r="Q164" s="172">
        <v>46227</v>
      </c>
      <c r="R164" s="77">
        <v>46411</v>
      </c>
      <c r="S164" s="176">
        <v>46211</v>
      </c>
      <c r="T164" s="78">
        <v>46217</v>
      </c>
      <c r="U164" s="78">
        <v>46218</v>
      </c>
      <c r="V164" s="79" t="s">
        <v>41</v>
      </c>
      <c r="W164" s="79" t="s">
        <v>32</v>
      </c>
      <c r="X164" s="80" t="s">
        <v>41</v>
      </c>
      <c r="Y164" s="76" t="s">
        <v>32</v>
      </c>
      <c r="Z164" s="68"/>
      <c r="AA164" s="70" t="s">
        <v>43</v>
      </c>
      <c r="AB164" s="99" t="e">
        <f>+VLOOKUP(A164,'[1]VALID RIM NUEVAM'!A$1:O$65536,15,0)</f>
        <v>#N/A</v>
      </c>
      <c r="AC164" s="70"/>
      <c r="AD164" s="70"/>
      <c r="AE164" s="70"/>
    </row>
    <row r="165" spans="1:31" ht="30">
      <c r="A165" s="68" t="s">
        <v>550</v>
      </c>
      <c r="B165" s="69" t="s">
        <v>551</v>
      </c>
      <c r="C165" s="68" t="s">
        <v>536</v>
      </c>
      <c r="D165" s="68">
        <v>3919100000</v>
      </c>
      <c r="E165" s="68" t="s">
        <v>32</v>
      </c>
      <c r="F165" s="70">
        <v>3538</v>
      </c>
      <c r="G165" s="71">
        <v>47744</v>
      </c>
      <c r="H165" s="70" t="s">
        <v>122</v>
      </c>
      <c r="I165" s="70" t="s">
        <v>35</v>
      </c>
      <c r="J165" s="72" t="s">
        <v>552</v>
      </c>
      <c r="K165" s="72" t="s">
        <v>36</v>
      </c>
      <c r="L165" s="73" t="s">
        <v>553</v>
      </c>
      <c r="M165" s="73" t="s">
        <v>96</v>
      </c>
      <c r="N165" s="74">
        <v>2670785</v>
      </c>
      <c r="O165" s="75" t="s">
        <v>514</v>
      </c>
      <c r="P165" s="76" t="s">
        <v>515</v>
      </c>
      <c r="Q165" s="172">
        <v>46227</v>
      </c>
      <c r="R165" s="77">
        <v>46411</v>
      </c>
      <c r="S165" s="176">
        <v>46211</v>
      </c>
      <c r="T165" s="78">
        <v>46217</v>
      </c>
      <c r="U165" s="78">
        <v>46218</v>
      </c>
      <c r="V165" s="79" t="s">
        <v>41</v>
      </c>
      <c r="W165" s="79" t="s">
        <v>32</v>
      </c>
      <c r="X165" s="80" t="s">
        <v>41</v>
      </c>
      <c r="Y165" s="76" t="s">
        <v>32</v>
      </c>
      <c r="Z165" s="68"/>
      <c r="AA165" s="70" t="s">
        <v>43</v>
      </c>
      <c r="AB165" s="99" t="e">
        <f>+VLOOKUP(A165,'[1]VALID RIM NUEVAM'!A$1:O$65536,15,0)</f>
        <v>#N/A</v>
      </c>
      <c r="AC165" s="70"/>
      <c r="AD165" s="70"/>
      <c r="AE165" s="70"/>
    </row>
    <row r="166" spans="1:31" ht="30">
      <c r="A166" s="68" t="s">
        <v>554</v>
      </c>
      <c r="B166" s="69" t="s">
        <v>555</v>
      </c>
      <c r="C166" s="68" t="s">
        <v>522</v>
      </c>
      <c r="D166" s="68">
        <v>3919100000</v>
      </c>
      <c r="E166" s="68" t="s">
        <v>32</v>
      </c>
      <c r="F166" s="70">
        <v>3538</v>
      </c>
      <c r="G166" s="71">
        <v>47744</v>
      </c>
      <c r="H166" s="70" t="s">
        <v>122</v>
      </c>
      <c r="I166" s="70" t="s">
        <v>35</v>
      </c>
      <c r="J166" s="72" t="s">
        <v>552</v>
      </c>
      <c r="K166" s="72" t="s">
        <v>36</v>
      </c>
      <c r="L166" s="73" t="s">
        <v>553</v>
      </c>
      <c r="M166" s="73" t="s">
        <v>96</v>
      </c>
      <c r="N166" s="74">
        <v>2670785</v>
      </c>
      <c r="O166" s="75" t="s">
        <v>514</v>
      </c>
      <c r="P166" s="76" t="s">
        <v>515</v>
      </c>
      <c r="Q166" s="172">
        <v>46227</v>
      </c>
      <c r="R166" s="77">
        <v>46411</v>
      </c>
      <c r="S166" s="176">
        <v>46211</v>
      </c>
      <c r="T166" s="78">
        <v>46217</v>
      </c>
      <c r="U166" s="78">
        <v>46218</v>
      </c>
      <c r="V166" s="79" t="s">
        <v>41</v>
      </c>
      <c r="W166" s="79" t="s">
        <v>32</v>
      </c>
      <c r="X166" s="80" t="s">
        <v>41</v>
      </c>
      <c r="Y166" s="76" t="s">
        <v>32</v>
      </c>
      <c r="Z166" s="68"/>
      <c r="AA166" s="70" t="s">
        <v>43</v>
      </c>
      <c r="AB166" s="99" t="e">
        <f>+VLOOKUP(A166,'[1]VALID RIM NUEVAM'!A$1:O$65536,15,0)</f>
        <v>#N/A</v>
      </c>
      <c r="AC166" s="70"/>
      <c r="AD166" s="70"/>
      <c r="AE166" s="70"/>
    </row>
    <row r="167" spans="1:31" ht="30">
      <c r="A167" s="68" t="s">
        <v>556</v>
      </c>
      <c r="B167" s="69" t="s">
        <v>557</v>
      </c>
      <c r="C167" s="68" t="s">
        <v>542</v>
      </c>
      <c r="D167" s="68">
        <v>3919100000</v>
      </c>
      <c r="E167" s="68" t="s">
        <v>32</v>
      </c>
      <c r="F167" s="70">
        <v>3538</v>
      </c>
      <c r="G167" s="71">
        <v>47744</v>
      </c>
      <c r="H167" s="70" t="s">
        <v>122</v>
      </c>
      <c r="I167" s="70" t="s">
        <v>35</v>
      </c>
      <c r="J167" s="72" t="s">
        <v>552</v>
      </c>
      <c r="K167" s="72" t="s">
        <v>36</v>
      </c>
      <c r="L167" s="73" t="s">
        <v>553</v>
      </c>
      <c r="M167" s="73" t="s">
        <v>96</v>
      </c>
      <c r="N167" s="74">
        <v>2670785</v>
      </c>
      <c r="O167" s="75" t="s">
        <v>514</v>
      </c>
      <c r="P167" s="76" t="s">
        <v>515</v>
      </c>
      <c r="Q167" s="172">
        <v>46227</v>
      </c>
      <c r="R167" s="77">
        <v>46411</v>
      </c>
      <c r="S167" s="176">
        <v>46211</v>
      </c>
      <c r="T167" s="78">
        <v>46217</v>
      </c>
      <c r="U167" s="78">
        <v>46218</v>
      </c>
      <c r="V167" s="79" t="s">
        <v>41</v>
      </c>
      <c r="W167" s="79" t="s">
        <v>32</v>
      </c>
      <c r="X167" s="80" t="s">
        <v>41</v>
      </c>
      <c r="Y167" s="76" t="s">
        <v>32</v>
      </c>
      <c r="Z167" s="68"/>
      <c r="AA167" s="70" t="s">
        <v>43</v>
      </c>
      <c r="AB167" s="99" t="e">
        <f>+VLOOKUP(A167,'[1]VALID RIM NUEVAM'!A$1:O$65536,15,0)</f>
        <v>#N/A</v>
      </c>
      <c r="AC167" s="70"/>
      <c r="AD167" s="70"/>
      <c r="AE167" s="70"/>
    </row>
    <row r="168" spans="1:31" ht="30">
      <c r="A168" s="68" t="s">
        <v>558</v>
      </c>
      <c r="B168" s="69" t="s">
        <v>559</v>
      </c>
      <c r="C168" s="68" t="s">
        <v>518</v>
      </c>
      <c r="D168" s="68">
        <v>3919100000</v>
      </c>
      <c r="E168" s="68" t="s">
        <v>32</v>
      </c>
      <c r="F168" s="70">
        <v>3538</v>
      </c>
      <c r="G168" s="71">
        <v>47744</v>
      </c>
      <c r="H168" s="70" t="s">
        <v>122</v>
      </c>
      <c r="I168" s="70" t="s">
        <v>35</v>
      </c>
      <c r="J168" s="72" t="s">
        <v>552</v>
      </c>
      <c r="K168" s="72" t="s">
        <v>36</v>
      </c>
      <c r="L168" s="73" t="s">
        <v>553</v>
      </c>
      <c r="M168" s="73" t="s">
        <v>96</v>
      </c>
      <c r="N168" s="74">
        <v>2670785</v>
      </c>
      <c r="O168" s="75" t="s">
        <v>514</v>
      </c>
      <c r="P168" s="76" t="s">
        <v>515</v>
      </c>
      <c r="Q168" s="172">
        <v>46227</v>
      </c>
      <c r="R168" s="77">
        <v>46411</v>
      </c>
      <c r="S168" s="176">
        <v>46211</v>
      </c>
      <c r="T168" s="78">
        <v>46217</v>
      </c>
      <c r="U168" s="78">
        <v>46218</v>
      </c>
      <c r="V168" s="79" t="s">
        <v>41</v>
      </c>
      <c r="W168" s="79" t="s">
        <v>32</v>
      </c>
      <c r="X168" s="80" t="s">
        <v>41</v>
      </c>
      <c r="Y168" s="76" t="s">
        <v>32</v>
      </c>
      <c r="Z168" s="68"/>
      <c r="AA168" s="70" t="s">
        <v>43</v>
      </c>
      <c r="AB168" s="99" t="e">
        <f>+VLOOKUP(A168,'[1]VALID RIM NUEVAM'!A$1:O$65536,15,0)</f>
        <v>#N/A</v>
      </c>
      <c r="AC168" s="70"/>
      <c r="AD168" s="70"/>
      <c r="AE168" s="70"/>
    </row>
    <row r="169" spans="1:31" ht="30">
      <c r="A169" s="68" t="s">
        <v>560</v>
      </c>
      <c r="B169" s="69" t="s">
        <v>561</v>
      </c>
      <c r="C169" s="68" t="s">
        <v>140</v>
      </c>
      <c r="D169" s="68">
        <v>3919100000</v>
      </c>
      <c r="E169" s="68" t="s">
        <v>32</v>
      </c>
      <c r="F169" s="70">
        <v>3538</v>
      </c>
      <c r="G169" s="71">
        <v>47744</v>
      </c>
      <c r="H169" s="70" t="s">
        <v>122</v>
      </c>
      <c r="I169" s="70" t="s">
        <v>35</v>
      </c>
      <c r="J169" s="72" t="s">
        <v>552</v>
      </c>
      <c r="K169" s="72" t="s">
        <v>36</v>
      </c>
      <c r="L169" s="73" t="s">
        <v>553</v>
      </c>
      <c r="M169" s="73" t="s">
        <v>96</v>
      </c>
      <c r="N169" s="74">
        <v>2670785</v>
      </c>
      <c r="O169" s="75" t="s">
        <v>514</v>
      </c>
      <c r="P169" s="76" t="s">
        <v>515</v>
      </c>
      <c r="Q169" s="172">
        <v>46227</v>
      </c>
      <c r="R169" s="77">
        <v>46411</v>
      </c>
      <c r="S169" s="176">
        <v>46211</v>
      </c>
      <c r="T169" s="78">
        <v>46217</v>
      </c>
      <c r="U169" s="78">
        <v>46218</v>
      </c>
      <c r="V169" s="79" t="s">
        <v>41</v>
      </c>
      <c r="W169" s="79" t="s">
        <v>32</v>
      </c>
      <c r="X169" s="80" t="s">
        <v>41</v>
      </c>
      <c r="Y169" s="76" t="s">
        <v>32</v>
      </c>
      <c r="Z169" s="68"/>
      <c r="AA169" s="70" t="s">
        <v>43</v>
      </c>
      <c r="AB169" s="99" t="e">
        <f>+VLOOKUP(A169,'[1]VALID RIM NUEVAM'!A$1:O$65536,15,0)</f>
        <v>#N/A</v>
      </c>
      <c r="AC169" s="70"/>
      <c r="AD169" s="70"/>
      <c r="AE169" s="70"/>
    </row>
    <row r="170" spans="1:31" ht="30">
      <c r="A170" s="68" t="s">
        <v>562</v>
      </c>
      <c r="B170" s="69" t="s">
        <v>563</v>
      </c>
      <c r="C170" s="68" t="s">
        <v>539</v>
      </c>
      <c r="D170" s="68">
        <v>3919100000</v>
      </c>
      <c r="E170" s="68" t="s">
        <v>32</v>
      </c>
      <c r="F170" s="70">
        <v>3538</v>
      </c>
      <c r="G170" s="71">
        <v>47744</v>
      </c>
      <c r="H170" s="70" t="s">
        <v>122</v>
      </c>
      <c r="I170" s="70" t="s">
        <v>35</v>
      </c>
      <c r="J170" s="72" t="s">
        <v>552</v>
      </c>
      <c r="K170" s="72" t="s">
        <v>36</v>
      </c>
      <c r="L170" s="73" t="s">
        <v>553</v>
      </c>
      <c r="M170" s="73" t="s">
        <v>96</v>
      </c>
      <c r="N170" s="74">
        <v>2670785</v>
      </c>
      <c r="O170" s="75" t="s">
        <v>514</v>
      </c>
      <c r="P170" s="76" t="s">
        <v>515</v>
      </c>
      <c r="Q170" s="172">
        <v>46227</v>
      </c>
      <c r="R170" s="77">
        <v>46411</v>
      </c>
      <c r="S170" s="176">
        <v>46211</v>
      </c>
      <c r="T170" s="78">
        <v>46217</v>
      </c>
      <c r="U170" s="78">
        <v>46218</v>
      </c>
      <c r="V170" s="79" t="s">
        <v>41</v>
      </c>
      <c r="W170" s="79" t="s">
        <v>32</v>
      </c>
      <c r="X170" s="80" t="s">
        <v>41</v>
      </c>
      <c r="Y170" s="76" t="s">
        <v>32</v>
      </c>
      <c r="Z170" s="68"/>
      <c r="AA170" s="70" t="s">
        <v>43</v>
      </c>
      <c r="AB170" s="99" t="e">
        <f>+VLOOKUP(A170,'[1]VALID RIM NUEVAM'!A$1:O$65536,15,0)</f>
        <v>#N/A</v>
      </c>
      <c r="AC170" s="70"/>
      <c r="AD170" s="70"/>
      <c r="AE170" s="70"/>
    </row>
    <row r="171" spans="1:31" ht="45">
      <c r="A171" s="6" t="str">
        <f>+B171&amp;I171</f>
        <v>XA009228892SIAT S.P.A</v>
      </c>
      <c r="B171" s="7" t="s">
        <v>564</v>
      </c>
      <c r="C171" s="6" t="s">
        <v>32</v>
      </c>
      <c r="D171" s="6">
        <v>8422900000</v>
      </c>
      <c r="E171" s="6" t="s">
        <v>32</v>
      </c>
      <c r="F171" s="8" t="s">
        <v>169</v>
      </c>
      <c r="G171" s="9" t="s">
        <v>32</v>
      </c>
      <c r="H171" s="8" t="s">
        <v>170</v>
      </c>
      <c r="I171" s="8" t="s">
        <v>123</v>
      </c>
      <c r="J171" s="10">
        <v>695</v>
      </c>
      <c r="K171" s="10" t="s">
        <v>124</v>
      </c>
      <c r="L171" s="11" t="s">
        <v>125</v>
      </c>
      <c r="M171" s="11" t="s">
        <v>38</v>
      </c>
      <c r="N171" s="12">
        <v>2674497</v>
      </c>
      <c r="O171" s="13" t="s">
        <v>565</v>
      </c>
      <c r="P171" s="14" t="s">
        <v>566</v>
      </c>
      <c r="Q171" s="172">
        <v>46227</v>
      </c>
      <c r="R171" s="15">
        <v>46411</v>
      </c>
      <c r="S171" s="176">
        <v>46224</v>
      </c>
      <c r="T171" s="16">
        <v>46226</v>
      </c>
      <c r="U171" s="16">
        <v>46226</v>
      </c>
      <c r="V171" s="17" t="s">
        <v>41</v>
      </c>
      <c r="W171" s="17" t="s">
        <v>32</v>
      </c>
      <c r="X171" s="18" t="s">
        <v>41</v>
      </c>
      <c r="Y171" s="14" t="s">
        <v>32</v>
      </c>
      <c r="Z171" s="6" t="s">
        <v>567</v>
      </c>
      <c r="AA171" s="8" t="s">
        <v>43</v>
      </c>
      <c r="AB171" s="65" t="e">
        <f>+VLOOKUP(A171,'[1]VALID RIM NUEVAM'!A$1:O$65536,15,0)</f>
        <v>#N/A</v>
      </c>
      <c r="AC171" s="8"/>
      <c r="AD171" s="8"/>
      <c r="AE171" s="8"/>
    </row>
    <row r="172" spans="1:31" ht="45">
      <c r="A172" s="6" t="str">
        <f>+B172&amp;I172</f>
        <v>78805761810SIAT S.P.A</v>
      </c>
      <c r="B172" s="7">
        <v>78805761810</v>
      </c>
      <c r="C172" s="6" t="s">
        <v>32</v>
      </c>
      <c r="D172" s="6">
        <v>8422900000</v>
      </c>
      <c r="E172" s="6" t="s">
        <v>32</v>
      </c>
      <c r="F172" s="8" t="s">
        <v>169</v>
      </c>
      <c r="G172" s="9" t="s">
        <v>32</v>
      </c>
      <c r="H172" s="8" t="s">
        <v>170</v>
      </c>
      <c r="I172" s="8" t="s">
        <v>123</v>
      </c>
      <c r="J172" s="10">
        <v>3.82</v>
      </c>
      <c r="K172" s="10" t="s">
        <v>124</v>
      </c>
      <c r="L172" s="11" t="s">
        <v>125</v>
      </c>
      <c r="M172" s="11" t="s">
        <v>38</v>
      </c>
      <c r="N172" s="12">
        <v>2674497</v>
      </c>
      <c r="O172" s="13" t="s">
        <v>565</v>
      </c>
      <c r="P172" s="14" t="s">
        <v>566</v>
      </c>
      <c r="Q172" s="172">
        <v>46227</v>
      </c>
      <c r="R172" s="15">
        <v>46411</v>
      </c>
      <c r="S172" s="176">
        <v>46224</v>
      </c>
      <c r="T172" s="16">
        <v>46226</v>
      </c>
      <c r="U172" s="16">
        <v>46226</v>
      </c>
      <c r="V172" s="17" t="s">
        <v>41</v>
      </c>
      <c r="W172" s="17" t="s">
        <v>32</v>
      </c>
      <c r="X172" s="18" t="s">
        <v>41</v>
      </c>
      <c r="Y172" s="14" t="s">
        <v>32</v>
      </c>
      <c r="Z172" s="6" t="s">
        <v>567</v>
      </c>
      <c r="AA172" s="8" t="s">
        <v>43</v>
      </c>
      <c r="AB172" s="65" t="e">
        <f>+VLOOKUP(A172,'[1]VALID RIM NUEVAM'!A$1:O$65536,15,0)</f>
        <v>#N/A</v>
      </c>
      <c r="AC172" s="8"/>
      <c r="AD172" s="8"/>
      <c r="AE172" s="8"/>
    </row>
    <row r="173" spans="1:31" ht="45">
      <c r="A173" s="6" t="str">
        <f>+B173&amp;I173</f>
        <v>78805761802SIAT S.P.A</v>
      </c>
      <c r="B173" s="7">
        <v>78805761802</v>
      </c>
      <c r="C173" s="6" t="s">
        <v>32</v>
      </c>
      <c r="D173" s="6">
        <v>8422900000</v>
      </c>
      <c r="E173" s="6" t="s">
        <v>32</v>
      </c>
      <c r="F173" s="8" t="s">
        <v>169</v>
      </c>
      <c r="G173" s="9" t="s">
        <v>32</v>
      </c>
      <c r="H173" s="8" t="s">
        <v>170</v>
      </c>
      <c r="I173" s="8" t="s">
        <v>123</v>
      </c>
      <c r="J173" s="10">
        <v>7.18</v>
      </c>
      <c r="K173" s="10" t="s">
        <v>124</v>
      </c>
      <c r="L173" s="11" t="s">
        <v>125</v>
      </c>
      <c r="M173" s="11" t="s">
        <v>38</v>
      </c>
      <c r="N173" s="12">
        <v>2674497</v>
      </c>
      <c r="O173" s="13" t="s">
        <v>565</v>
      </c>
      <c r="P173" s="14" t="s">
        <v>566</v>
      </c>
      <c r="Q173" s="172">
        <v>46227</v>
      </c>
      <c r="R173" s="15">
        <v>46411</v>
      </c>
      <c r="S173" s="176">
        <v>46224</v>
      </c>
      <c r="T173" s="16">
        <v>46226</v>
      </c>
      <c r="U173" s="16">
        <v>46226</v>
      </c>
      <c r="V173" s="17" t="s">
        <v>41</v>
      </c>
      <c r="W173" s="17" t="s">
        <v>32</v>
      </c>
      <c r="X173" s="18" t="s">
        <v>41</v>
      </c>
      <c r="Y173" s="14" t="s">
        <v>32</v>
      </c>
      <c r="Z173" s="6" t="s">
        <v>567</v>
      </c>
      <c r="AA173" s="8" t="s">
        <v>43</v>
      </c>
      <c r="AB173" s="65" t="e">
        <f>+VLOOKUP(A173,'[1]VALID RIM NUEVAM'!A$1:O$65536,15,0)</f>
        <v>#N/A</v>
      </c>
      <c r="AC173" s="8"/>
      <c r="AD173" s="8"/>
      <c r="AE173" s="8"/>
    </row>
    <row r="174" spans="1:31" ht="45">
      <c r="A174" s="6" t="str">
        <f>+B174&amp;I174</f>
        <v>78801791324SIAT S.P.A</v>
      </c>
      <c r="B174" s="7">
        <v>78801791324</v>
      </c>
      <c r="C174" s="6" t="s">
        <v>32</v>
      </c>
      <c r="D174" s="6">
        <v>8422900000</v>
      </c>
      <c r="E174" s="6" t="s">
        <v>32</v>
      </c>
      <c r="F174" s="8" t="s">
        <v>169</v>
      </c>
      <c r="G174" s="9" t="s">
        <v>32</v>
      </c>
      <c r="H174" s="8" t="s">
        <v>170</v>
      </c>
      <c r="I174" s="8" t="s">
        <v>123</v>
      </c>
      <c r="J174" s="10">
        <v>0.97</v>
      </c>
      <c r="K174" s="10" t="s">
        <v>124</v>
      </c>
      <c r="L174" s="11" t="s">
        <v>125</v>
      </c>
      <c r="M174" s="11" t="s">
        <v>38</v>
      </c>
      <c r="N174" s="12">
        <v>2674497</v>
      </c>
      <c r="O174" s="13" t="s">
        <v>565</v>
      </c>
      <c r="P174" s="14" t="s">
        <v>566</v>
      </c>
      <c r="Q174" s="172">
        <v>46227</v>
      </c>
      <c r="R174" s="15">
        <v>46411</v>
      </c>
      <c r="S174" s="176">
        <v>46224</v>
      </c>
      <c r="T174" s="16">
        <v>46226</v>
      </c>
      <c r="U174" s="16">
        <v>46226</v>
      </c>
      <c r="V174" s="17" t="s">
        <v>41</v>
      </c>
      <c r="W174" s="17" t="s">
        <v>32</v>
      </c>
      <c r="X174" s="18" t="s">
        <v>41</v>
      </c>
      <c r="Y174" s="14" t="s">
        <v>32</v>
      </c>
      <c r="Z174" s="6" t="s">
        <v>567</v>
      </c>
      <c r="AA174" s="8" t="s">
        <v>43</v>
      </c>
      <c r="AB174" s="65" t="e">
        <f>+VLOOKUP(A174,'[1]VALID RIM NUEVAM'!A$1:O$65536,15,0)</f>
        <v>#N/A</v>
      </c>
      <c r="AC174" s="8"/>
      <c r="AD174" s="8"/>
      <c r="AE174" s="8"/>
    </row>
    <row r="175" spans="1:31" ht="45">
      <c r="A175" s="6" t="str">
        <f>+B175&amp;I175</f>
        <v>XA009228876SIAT S.P.A</v>
      </c>
      <c r="B175" s="7" t="s">
        <v>568</v>
      </c>
      <c r="C175" s="6" t="s">
        <v>32</v>
      </c>
      <c r="D175" s="6">
        <v>8422900000</v>
      </c>
      <c r="E175" s="6" t="s">
        <v>32</v>
      </c>
      <c r="F175" s="8" t="s">
        <v>169</v>
      </c>
      <c r="G175" s="9" t="s">
        <v>32</v>
      </c>
      <c r="H175" s="8" t="s">
        <v>170</v>
      </c>
      <c r="I175" s="8" t="s">
        <v>123</v>
      </c>
      <c r="J175" s="10">
        <v>695</v>
      </c>
      <c r="K175" s="10" t="s">
        <v>124</v>
      </c>
      <c r="L175" s="11" t="s">
        <v>125</v>
      </c>
      <c r="M175" s="11" t="s">
        <v>38</v>
      </c>
      <c r="N175" s="12">
        <v>2674497</v>
      </c>
      <c r="O175" s="13" t="s">
        <v>565</v>
      </c>
      <c r="P175" s="14" t="s">
        <v>566</v>
      </c>
      <c r="Q175" s="172">
        <v>46227</v>
      </c>
      <c r="R175" s="15">
        <v>46411</v>
      </c>
      <c r="S175" s="176">
        <v>46224</v>
      </c>
      <c r="T175" s="16">
        <v>46226</v>
      </c>
      <c r="U175" s="16">
        <v>46226</v>
      </c>
      <c r="V175" s="17" t="s">
        <v>41</v>
      </c>
      <c r="W175" s="17" t="s">
        <v>32</v>
      </c>
      <c r="X175" s="18" t="s">
        <v>41</v>
      </c>
      <c r="Y175" s="14" t="s">
        <v>32</v>
      </c>
      <c r="Z175" s="6" t="s">
        <v>567</v>
      </c>
      <c r="AA175" s="8" t="s">
        <v>43</v>
      </c>
      <c r="AB175" s="65" t="e">
        <f>+VLOOKUP(A175,'[1]VALID RIM NUEVAM'!A$1:O$65536,15,0)</f>
        <v>#N/A</v>
      </c>
      <c r="AC175" s="8"/>
      <c r="AD175" s="8"/>
      <c r="AE175" s="8"/>
    </row>
    <row r="176" spans="1:31" ht="30">
      <c r="A176" s="68" t="s">
        <v>569</v>
      </c>
      <c r="B176" s="69" t="s">
        <v>570</v>
      </c>
      <c r="C176" s="68" t="s">
        <v>140</v>
      </c>
      <c r="D176" s="68">
        <v>3919100000</v>
      </c>
      <c r="E176" s="68" t="s">
        <v>32</v>
      </c>
      <c r="F176" s="70">
        <v>3538</v>
      </c>
      <c r="G176" s="71">
        <v>47744</v>
      </c>
      <c r="H176" s="70" t="s">
        <v>122</v>
      </c>
      <c r="I176" s="70" t="s">
        <v>35</v>
      </c>
      <c r="J176" s="72">
        <v>2</v>
      </c>
      <c r="K176" s="72" t="s">
        <v>36</v>
      </c>
      <c r="L176" s="73" t="s">
        <v>571</v>
      </c>
      <c r="M176" s="73" t="s">
        <v>96</v>
      </c>
      <c r="N176" s="74">
        <v>2670785</v>
      </c>
      <c r="O176" s="75" t="s">
        <v>514</v>
      </c>
      <c r="P176" s="76" t="s">
        <v>515</v>
      </c>
      <c r="Q176" s="172">
        <v>46227</v>
      </c>
      <c r="R176" s="77">
        <v>46411</v>
      </c>
      <c r="S176" s="176">
        <v>46211</v>
      </c>
      <c r="T176" s="78">
        <v>46217</v>
      </c>
      <c r="U176" s="78">
        <v>46218</v>
      </c>
      <c r="V176" s="79" t="s">
        <v>41</v>
      </c>
      <c r="W176" s="79" t="s">
        <v>32</v>
      </c>
      <c r="X176" s="80" t="s">
        <v>41</v>
      </c>
      <c r="Y176" s="76" t="s">
        <v>32</v>
      </c>
      <c r="Z176" s="68"/>
      <c r="AA176" s="70" t="s">
        <v>43</v>
      </c>
      <c r="AB176" s="99" t="e">
        <f>+VLOOKUP(A176,'[1]VALID RIM NUEVAM'!A$1:O$65536,15,0)</f>
        <v>#N/A</v>
      </c>
      <c r="AC176" s="70"/>
      <c r="AD176" s="70"/>
      <c r="AE176" s="70"/>
    </row>
    <row r="177" spans="1:31" ht="45">
      <c r="A177" s="68" t="str">
        <f t="shared" ref="A177:A240" si="3">+B177&amp;I177</f>
        <v>800002096033M COMPANY</v>
      </c>
      <c r="B177" s="69">
        <v>80000209603</v>
      </c>
      <c r="C177" s="68" t="s">
        <v>572</v>
      </c>
      <c r="D177" s="68">
        <v>8536909000</v>
      </c>
      <c r="E177" s="68" t="s">
        <v>32</v>
      </c>
      <c r="F177" s="70">
        <v>3518</v>
      </c>
      <c r="G177" s="84">
        <v>47673</v>
      </c>
      <c r="H177" s="70" t="s">
        <v>141</v>
      </c>
      <c r="I177" s="70" t="s">
        <v>35</v>
      </c>
      <c r="J177" s="72" t="s">
        <v>573</v>
      </c>
      <c r="K177" s="72" t="s">
        <v>36</v>
      </c>
      <c r="L177" s="73" t="s">
        <v>37</v>
      </c>
      <c r="M177" s="73" t="s">
        <v>38</v>
      </c>
      <c r="N177" s="74">
        <v>2665570</v>
      </c>
      <c r="O177" s="75" t="s">
        <v>574</v>
      </c>
      <c r="P177" s="76" t="s">
        <v>575</v>
      </c>
      <c r="Q177" s="172">
        <v>46233</v>
      </c>
      <c r="R177" s="77">
        <v>46413</v>
      </c>
      <c r="S177" s="176">
        <v>46198</v>
      </c>
      <c r="T177" s="78">
        <v>46225</v>
      </c>
      <c r="U177" s="78">
        <v>46225</v>
      </c>
      <c r="V177" s="79" t="s">
        <v>41</v>
      </c>
      <c r="W177" s="79" t="s">
        <v>32</v>
      </c>
      <c r="X177" s="80" t="s">
        <v>41</v>
      </c>
      <c r="Y177" s="76" t="s">
        <v>32</v>
      </c>
      <c r="Z177" s="68"/>
      <c r="AA177" s="70" t="s">
        <v>43</v>
      </c>
      <c r="AB177" s="73" t="e">
        <f>+VLOOKUP(A177,'[1]VALID RIM NUEVAM'!A$1:O$65536,15,0)</f>
        <v>#N/A</v>
      </c>
      <c r="AC177" s="70"/>
      <c r="AD177" s="70"/>
      <c r="AE177" s="70"/>
    </row>
    <row r="178" spans="1:31" ht="45">
      <c r="A178" s="68" t="str">
        <f t="shared" si="3"/>
        <v>800002096293M COMPANY</v>
      </c>
      <c r="B178" s="69">
        <v>80000209629</v>
      </c>
      <c r="C178" s="68">
        <v>562</v>
      </c>
      <c r="D178" s="68">
        <v>8536909000</v>
      </c>
      <c r="E178" s="68" t="s">
        <v>32</v>
      </c>
      <c r="F178" s="70">
        <v>3518</v>
      </c>
      <c r="G178" s="84">
        <v>47673</v>
      </c>
      <c r="H178" s="70" t="s">
        <v>141</v>
      </c>
      <c r="I178" s="70" t="s">
        <v>35</v>
      </c>
      <c r="J178" s="72" t="s">
        <v>576</v>
      </c>
      <c r="K178" s="72" t="s">
        <v>36</v>
      </c>
      <c r="L178" s="73" t="s">
        <v>37</v>
      </c>
      <c r="M178" s="73" t="s">
        <v>38</v>
      </c>
      <c r="N178" s="74">
        <v>2665570</v>
      </c>
      <c r="O178" s="75" t="s">
        <v>574</v>
      </c>
      <c r="P178" s="76" t="s">
        <v>575</v>
      </c>
      <c r="Q178" s="172">
        <v>46233</v>
      </c>
      <c r="R178" s="77">
        <v>46413</v>
      </c>
      <c r="S178" s="176">
        <v>46198</v>
      </c>
      <c r="T178" s="78">
        <v>46225</v>
      </c>
      <c r="U178" s="78">
        <v>46225</v>
      </c>
      <c r="V178" s="79" t="s">
        <v>41</v>
      </c>
      <c r="W178" s="79" t="s">
        <v>32</v>
      </c>
      <c r="X178" s="80" t="s">
        <v>41</v>
      </c>
      <c r="Y178" s="76" t="s">
        <v>32</v>
      </c>
      <c r="Z178" s="68"/>
      <c r="AA178" s="70" t="s">
        <v>43</v>
      </c>
      <c r="AB178" s="73" t="e">
        <f>+VLOOKUP(A178,'[1]VALID RIM NUEVAM'!A$1:O$65536,15,0)</f>
        <v>#N/A</v>
      </c>
      <c r="AC178" s="70"/>
      <c r="AD178" s="70"/>
      <c r="AE178" s="70"/>
    </row>
    <row r="179" spans="1:31" ht="45">
      <c r="A179" s="68" t="str">
        <f t="shared" si="3"/>
        <v>800002097693M COMPANY</v>
      </c>
      <c r="B179" s="69">
        <v>80000209769</v>
      </c>
      <c r="C179" s="68" t="s">
        <v>577</v>
      </c>
      <c r="D179" s="68">
        <v>8536909000</v>
      </c>
      <c r="E179" s="68" t="s">
        <v>32</v>
      </c>
      <c r="F179" s="70">
        <v>3518</v>
      </c>
      <c r="G179" s="84">
        <v>47673</v>
      </c>
      <c r="H179" s="70" t="s">
        <v>141</v>
      </c>
      <c r="I179" s="70" t="s">
        <v>35</v>
      </c>
      <c r="J179" s="72" t="s">
        <v>578</v>
      </c>
      <c r="K179" s="72" t="s">
        <v>36</v>
      </c>
      <c r="L179" s="73" t="s">
        <v>37</v>
      </c>
      <c r="M179" s="73" t="s">
        <v>38</v>
      </c>
      <c r="N179" s="74">
        <v>2665570</v>
      </c>
      <c r="O179" s="75" t="s">
        <v>574</v>
      </c>
      <c r="P179" s="76" t="s">
        <v>575</v>
      </c>
      <c r="Q179" s="172">
        <v>46233</v>
      </c>
      <c r="R179" s="77">
        <v>46413</v>
      </c>
      <c r="S179" s="176">
        <v>46198</v>
      </c>
      <c r="T179" s="78">
        <v>46225</v>
      </c>
      <c r="U179" s="78">
        <v>46225</v>
      </c>
      <c r="V179" s="79" t="s">
        <v>41</v>
      </c>
      <c r="W179" s="79" t="s">
        <v>32</v>
      </c>
      <c r="X179" s="80" t="s">
        <v>41</v>
      </c>
      <c r="Y179" s="76" t="s">
        <v>32</v>
      </c>
      <c r="Z179" s="68"/>
      <c r="AA179" s="70" t="s">
        <v>43</v>
      </c>
      <c r="AB179" s="73" t="e">
        <f>+VLOOKUP(A179,'[1]VALID RIM NUEVAM'!A$1:O$65536,15,0)</f>
        <v>#N/A</v>
      </c>
      <c r="AC179" s="70"/>
      <c r="AD179" s="70"/>
      <c r="AE179" s="70"/>
    </row>
    <row r="180" spans="1:31" ht="45">
      <c r="A180" s="68" t="str">
        <f t="shared" si="3"/>
        <v>800002097773M COMPANY</v>
      </c>
      <c r="B180" s="69">
        <v>80000209777</v>
      </c>
      <c r="C180" s="68" t="s">
        <v>579</v>
      </c>
      <c r="D180" s="68">
        <v>8536909000</v>
      </c>
      <c r="E180" s="68" t="s">
        <v>32</v>
      </c>
      <c r="F180" s="70">
        <v>3518</v>
      </c>
      <c r="G180" s="84">
        <v>47673</v>
      </c>
      <c r="H180" s="70" t="s">
        <v>141</v>
      </c>
      <c r="I180" s="70" t="s">
        <v>35</v>
      </c>
      <c r="J180" s="72" t="s">
        <v>580</v>
      </c>
      <c r="K180" s="72" t="s">
        <v>36</v>
      </c>
      <c r="L180" s="73" t="s">
        <v>37</v>
      </c>
      <c r="M180" s="73" t="s">
        <v>38</v>
      </c>
      <c r="N180" s="74">
        <v>2665570</v>
      </c>
      <c r="O180" s="75" t="s">
        <v>574</v>
      </c>
      <c r="P180" s="76" t="s">
        <v>575</v>
      </c>
      <c r="Q180" s="172">
        <v>46233</v>
      </c>
      <c r="R180" s="77">
        <v>46413</v>
      </c>
      <c r="S180" s="176">
        <v>46198</v>
      </c>
      <c r="T180" s="78">
        <v>46225</v>
      </c>
      <c r="U180" s="78">
        <v>46225</v>
      </c>
      <c r="V180" s="79" t="s">
        <v>41</v>
      </c>
      <c r="W180" s="79" t="s">
        <v>32</v>
      </c>
      <c r="X180" s="80" t="s">
        <v>41</v>
      </c>
      <c r="Y180" s="76" t="s">
        <v>32</v>
      </c>
      <c r="Z180" s="68"/>
      <c r="AA180" s="70" t="s">
        <v>43</v>
      </c>
      <c r="AB180" s="73" t="e">
        <f>+VLOOKUP(A180,'[1]VALID RIM NUEVAM'!A$1:O$65536,15,0)</f>
        <v>#N/A</v>
      </c>
      <c r="AC180" s="70"/>
      <c r="AD180" s="70"/>
      <c r="AE180" s="70"/>
    </row>
    <row r="181" spans="1:31" ht="45">
      <c r="A181" s="68" t="str">
        <f t="shared" si="3"/>
        <v>800002097853M COMPANY</v>
      </c>
      <c r="B181" s="69">
        <v>80000209785</v>
      </c>
      <c r="C181" s="68" t="s">
        <v>581</v>
      </c>
      <c r="D181" s="68">
        <v>8536909000</v>
      </c>
      <c r="E181" s="68" t="s">
        <v>32</v>
      </c>
      <c r="F181" s="70">
        <v>3518</v>
      </c>
      <c r="G181" s="84">
        <v>47673</v>
      </c>
      <c r="H181" s="70" t="s">
        <v>141</v>
      </c>
      <c r="I181" s="70" t="s">
        <v>35</v>
      </c>
      <c r="J181" s="72" t="s">
        <v>573</v>
      </c>
      <c r="K181" s="72" t="s">
        <v>36</v>
      </c>
      <c r="L181" s="73" t="s">
        <v>37</v>
      </c>
      <c r="M181" s="73" t="s">
        <v>38</v>
      </c>
      <c r="N181" s="74">
        <v>2665570</v>
      </c>
      <c r="O181" s="75" t="s">
        <v>574</v>
      </c>
      <c r="P181" s="76" t="s">
        <v>575</v>
      </c>
      <c r="Q181" s="172">
        <v>46233</v>
      </c>
      <c r="R181" s="77">
        <v>46413</v>
      </c>
      <c r="S181" s="176">
        <v>46198</v>
      </c>
      <c r="T181" s="78">
        <v>46225</v>
      </c>
      <c r="U181" s="78">
        <v>46225</v>
      </c>
      <c r="V181" s="79" t="s">
        <v>41</v>
      </c>
      <c r="W181" s="79" t="s">
        <v>32</v>
      </c>
      <c r="X181" s="80" t="s">
        <v>41</v>
      </c>
      <c r="Y181" s="76" t="s">
        <v>32</v>
      </c>
      <c r="Z181" s="68"/>
      <c r="AA181" s="70" t="s">
        <v>43</v>
      </c>
      <c r="AB181" s="73" t="e">
        <f>+VLOOKUP(A181,'[1]VALID RIM NUEVAM'!A$1:O$65536,15,0)</f>
        <v>#N/A</v>
      </c>
      <c r="AC181" s="70"/>
      <c r="AD181" s="70"/>
      <c r="AE181" s="70"/>
    </row>
    <row r="182" spans="1:31" ht="45">
      <c r="A182" s="68" t="str">
        <f t="shared" si="3"/>
        <v>800002098013M COMPANY</v>
      </c>
      <c r="B182" s="69">
        <v>80000209801</v>
      </c>
      <c r="C182" s="68" t="s">
        <v>582</v>
      </c>
      <c r="D182" s="68">
        <v>8536909000</v>
      </c>
      <c r="E182" s="68" t="s">
        <v>32</v>
      </c>
      <c r="F182" s="70">
        <v>3518</v>
      </c>
      <c r="G182" s="84">
        <v>47673</v>
      </c>
      <c r="H182" s="70" t="s">
        <v>141</v>
      </c>
      <c r="I182" s="70" t="s">
        <v>35</v>
      </c>
      <c r="J182" s="72" t="s">
        <v>583</v>
      </c>
      <c r="K182" s="72" t="s">
        <v>36</v>
      </c>
      <c r="L182" s="73" t="s">
        <v>37</v>
      </c>
      <c r="M182" s="73" t="s">
        <v>38</v>
      </c>
      <c r="N182" s="74">
        <v>2665570</v>
      </c>
      <c r="O182" s="75" t="s">
        <v>574</v>
      </c>
      <c r="P182" s="76" t="s">
        <v>575</v>
      </c>
      <c r="Q182" s="172">
        <v>46233</v>
      </c>
      <c r="R182" s="77">
        <v>46413</v>
      </c>
      <c r="S182" s="176">
        <v>46198</v>
      </c>
      <c r="T182" s="78">
        <v>46225</v>
      </c>
      <c r="U182" s="78">
        <v>46225</v>
      </c>
      <c r="V182" s="79" t="s">
        <v>41</v>
      </c>
      <c r="W182" s="79" t="s">
        <v>32</v>
      </c>
      <c r="X182" s="80" t="s">
        <v>41</v>
      </c>
      <c r="Y182" s="76" t="s">
        <v>32</v>
      </c>
      <c r="Z182" s="68"/>
      <c r="AA182" s="70" t="s">
        <v>43</v>
      </c>
      <c r="AB182" s="73" t="e">
        <f>+VLOOKUP(A182,'[1]VALID RIM NUEVAM'!A$1:O$65536,15,0)</f>
        <v>#N/A</v>
      </c>
      <c r="AC182" s="70"/>
      <c r="AD182" s="70"/>
      <c r="AE182" s="70"/>
    </row>
    <row r="183" spans="1:31" ht="45">
      <c r="A183" s="68" t="str">
        <f t="shared" si="3"/>
        <v>806100331123M COMPANY</v>
      </c>
      <c r="B183" s="69">
        <v>80610033112</v>
      </c>
      <c r="C183" s="68">
        <v>11006</v>
      </c>
      <c r="D183" s="68">
        <v>8535909000</v>
      </c>
      <c r="E183" s="68" t="s">
        <v>32</v>
      </c>
      <c r="F183" s="70">
        <v>3517</v>
      </c>
      <c r="G183" s="84">
        <v>47673</v>
      </c>
      <c r="H183" s="70" t="s">
        <v>141</v>
      </c>
      <c r="I183" s="70" t="s">
        <v>35</v>
      </c>
      <c r="J183" s="72" t="s">
        <v>584</v>
      </c>
      <c r="K183" s="72" t="s">
        <v>36</v>
      </c>
      <c r="L183" s="73" t="s">
        <v>213</v>
      </c>
      <c r="M183" s="73" t="s">
        <v>38</v>
      </c>
      <c r="N183" s="74">
        <v>2665570</v>
      </c>
      <c r="O183" s="75" t="s">
        <v>574</v>
      </c>
      <c r="P183" s="76" t="s">
        <v>575</v>
      </c>
      <c r="Q183" s="172">
        <v>46233</v>
      </c>
      <c r="R183" s="77">
        <v>46413</v>
      </c>
      <c r="S183" s="176">
        <v>46198</v>
      </c>
      <c r="T183" s="78">
        <v>46225</v>
      </c>
      <c r="U183" s="78">
        <v>46225</v>
      </c>
      <c r="V183" s="79" t="s">
        <v>41</v>
      </c>
      <c r="W183" s="79" t="s">
        <v>32</v>
      </c>
      <c r="X183" s="80" t="s">
        <v>41</v>
      </c>
      <c r="Y183" s="76" t="s">
        <v>32</v>
      </c>
      <c r="Z183" s="68"/>
      <c r="AA183" s="70" t="s">
        <v>43</v>
      </c>
      <c r="AB183" s="73" t="e">
        <f>+VLOOKUP(A183,'[1]VALID RIM NUEVAM'!A$1:O$65536,15,0)</f>
        <v>#N/A</v>
      </c>
      <c r="AC183" s="70"/>
      <c r="AD183" s="70"/>
      <c r="AE183" s="70"/>
    </row>
    <row r="184" spans="1:31" ht="45">
      <c r="A184" s="68" t="str">
        <f t="shared" si="3"/>
        <v>806100333363M COMPANY</v>
      </c>
      <c r="B184" s="69">
        <v>80610033336</v>
      </c>
      <c r="C184" s="68">
        <v>30036</v>
      </c>
      <c r="D184" s="68">
        <v>8535909000</v>
      </c>
      <c r="E184" s="68" t="s">
        <v>32</v>
      </c>
      <c r="F184" s="70">
        <v>3517</v>
      </c>
      <c r="G184" s="84">
        <v>47673</v>
      </c>
      <c r="H184" s="70" t="s">
        <v>141</v>
      </c>
      <c r="I184" s="70" t="s">
        <v>35</v>
      </c>
      <c r="J184" s="72" t="s">
        <v>585</v>
      </c>
      <c r="K184" s="72" t="s">
        <v>36</v>
      </c>
      <c r="L184" s="73" t="s">
        <v>213</v>
      </c>
      <c r="M184" s="73" t="s">
        <v>38</v>
      </c>
      <c r="N184" s="74">
        <v>2665570</v>
      </c>
      <c r="O184" s="75" t="s">
        <v>574</v>
      </c>
      <c r="P184" s="76" t="s">
        <v>575</v>
      </c>
      <c r="Q184" s="172">
        <v>46233</v>
      </c>
      <c r="R184" s="77">
        <v>46413</v>
      </c>
      <c r="S184" s="176">
        <v>46198</v>
      </c>
      <c r="T184" s="78">
        <v>46225</v>
      </c>
      <c r="U184" s="78">
        <v>46225</v>
      </c>
      <c r="V184" s="79" t="s">
        <v>41</v>
      </c>
      <c r="W184" s="79" t="s">
        <v>32</v>
      </c>
      <c r="X184" s="80" t="s">
        <v>41</v>
      </c>
      <c r="Y184" s="76" t="s">
        <v>32</v>
      </c>
      <c r="Z184" s="68"/>
      <c r="AA184" s="70" t="s">
        <v>43</v>
      </c>
      <c r="AB184" s="73" t="e">
        <f>+VLOOKUP(A184,'[1]VALID RIM NUEVAM'!A$1:O$65536,15,0)</f>
        <v>#N/A</v>
      </c>
      <c r="AC184" s="70"/>
      <c r="AD184" s="70"/>
      <c r="AE184" s="70"/>
    </row>
    <row r="185" spans="1:31" ht="45">
      <c r="A185" s="68" t="str">
        <f t="shared" si="3"/>
        <v>806100335673M COMPANY</v>
      </c>
      <c r="B185" s="69">
        <v>80610033567</v>
      </c>
      <c r="C185" s="68">
        <v>20006</v>
      </c>
      <c r="D185" s="68">
        <v>8535909000</v>
      </c>
      <c r="E185" s="68" t="s">
        <v>32</v>
      </c>
      <c r="F185" s="70">
        <v>3517</v>
      </c>
      <c r="G185" s="84">
        <v>47673</v>
      </c>
      <c r="H185" s="70" t="s">
        <v>141</v>
      </c>
      <c r="I185" s="70" t="s">
        <v>35</v>
      </c>
      <c r="J185" s="72">
        <v>7.71</v>
      </c>
      <c r="K185" s="72" t="s">
        <v>36</v>
      </c>
      <c r="L185" s="73" t="s">
        <v>586</v>
      </c>
      <c r="M185" s="73" t="s">
        <v>38</v>
      </c>
      <c r="N185" s="74">
        <v>2665570</v>
      </c>
      <c r="O185" s="75" t="s">
        <v>574</v>
      </c>
      <c r="P185" s="76" t="s">
        <v>575</v>
      </c>
      <c r="Q185" s="172">
        <v>46233</v>
      </c>
      <c r="R185" s="77">
        <v>46413</v>
      </c>
      <c r="S185" s="176">
        <v>46198</v>
      </c>
      <c r="T185" s="78">
        <v>46225</v>
      </c>
      <c r="U185" s="78">
        <v>46225</v>
      </c>
      <c r="V185" s="79" t="s">
        <v>41</v>
      </c>
      <c r="W185" s="79" t="s">
        <v>32</v>
      </c>
      <c r="X185" s="80" t="s">
        <v>41</v>
      </c>
      <c r="Y185" s="76" t="s">
        <v>32</v>
      </c>
      <c r="Z185" s="68"/>
      <c r="AA185" s="70" t="s">
        <v>43</v>
      </c>
      <c r="AB185" s="73" t="e">
        <f>+VLOOKUP(A185,'[1]VALID RIM NUEVAM'!A$1:O$65536,15,0)</f>
        <v>#N/A</v>
      </c>
      <c r="AC185" s="70"/>
      <c r="AD185" s="70"/>
      <c r="AE185" s="70"/>
    </row>
    <row r="186" spans="1:31" ht="45">
      <c r="A186" s="68" t="str">
        <f t="shared" si="3"/>
        <v>806100335913M COMPANY</v>
      </c>
      <c r="B186" s="69">
        <v>80610033591</v>
      </c>
      <c r="C186" s="68">
        <v>20009</v>
      </c>
      <c r="D186" s="68">
        <v>8535909000</v>
      </c>
      <c r="E186" s="68" t="s">
        <v>32</v>
      </c>
      <c r="F186" s="70">
        <v>3517</v>
      </c>
      <c r="G186" s="84">
        <v>47673</v>
      </c>
      <c r="H186" s="70" t="s">
        <v>141</v>
      </c>
      <c r="I186" s="70" t="s">
        <v>35</v>
      </c>
      <c r="J186" s="72" t="s">
        <v>587</v>
      </c>
      <c r="K186" s="72" t="s">
        <v>36</v>
      </c>
      <c r="L186" s="73" t="s">
        <v>37</v>
      </c>
      <c r="M186" s="73" t="s">
        <v>38</v>
      </c>
      <c r="N186" s="74">
        <v>2665570</v>
      </c>
      <c r="O186" s="75" t="s">
        <v>574</v>
      </c>
      <c r="P186" s="76" t="s">
        <v>575</v>
      </c>
      <c r="Q186" s="172">
        <v>46233</v>
      </c>
      <c r="R186" s="77">
        <v>46413</v>
      </c>
      <c r="S186" s="176">
        <v>46198</v>
      </c>
      <c r="T186" s="78">
        <v>46225</v>
      </c>
      <c r="U186" s="78">
        <v>46225</v>
      </c>
      <c r="V186" s="79" t="s">
        <v>41</v>
      </c>
      <c r="W186" s="79" t="s">
        <v>32</v>
      </c>
      <c r="X186" s="80" t="s">
        <v>41</v>
      </c>
      <c r="Y186" s="76" t="s">
        <v>32</v>
      </c>
      <c r="Z186" s="68"/>
      <c r="AA186" s="70" t="s">
        <v>43</v>
      </c>
      <c r="AB186" s="73" t="e">
        <f>+VLOOKUP(A186,'[1]VALID RIM NUEVAM'!A$1:O$65536,15,0)</f>
        <v>#N/A</v>
      </c>
      <c r="AC186" s="70"/>
      <c r="AD186" s="70"/>
      <c r="AE186" s="70"/>
    </row>
    <row r="187" spans="1:31" ht="45">
      <c r="A187" s="68" t="str">
        <f t="shared" si="3"/>
        <v>806100336333M COMPANY</v>
      </c>
      <c r="B187" s="69">
        <v>80610033633</v>
      </c>
      <c r="C187" s="68">
        <v>20014</v>
      </c>
      <c r="D187" s="68">
        <v>8535909000</v>
      </c>
      <c r="E187" s="68" t="s">
        <v>32</v>
      </c>
      <c r="F187" s="70">
        <v>3517</v>
      </c>
      <c r="G187" s="84">
        <v>47673</v>
      </c>
      <c r="H187" s="70" t="s">
        <v>141</v>
      </c>
      <c r="I187" s="70" t="s">
        <v>35</v>
      </c>
      <c r="J187" s="72" t="s">
        <v>588</v>
      </c>
      <c r="K187" s="72" t="s">
        <v>36</v>
      </c>
      <c r="L187" s="73" t="s">
        <v>37</v>
      </c>
      <c r="M187" s="73" t="s">
        <v>38</v>
      </c>
      <c r="N187" s="74">
        <v>2665570</v>
      </c>
      <c r="O187" s="75" t="s">
        <v>574</v>
      </c>
      <c r="P187" s="76" t="s">
        <v>575</v>
      </c>
      <c r="Q187" s="172">
        <v>46233</v>
      </c>
      <c r="R187" s="77">
        <v>46413</v>
      </c>
      <c r="S187" s="176">
        <v>46198</v>
      </c>
      <c r="T187" s="78">
        <v>46225</v>
      </c>
      <c r="U187" s="78">
        <v>46225</v>
      </c>
      <c r="V187" s="79" t="s">
        <v>41</v>
      </c>
      <c r="W187" s="79" t="s">
        <v>32</v>
      </c>
      <c r="X187" s="80" t="s">
        <v>41</v>
      </c>
      <c r="Y187" s="76" t="s">
        <v>32</v>
      </c>
      <c r="Z187" s="68"/>
      <c r="AA187" s="70" t="s">
        <v>43</v>
      </c>
      <c r="AB187" s="73" t="e">
        <f>+VLOOKUP(A187,'[1]VALID RIM NUEVAM'!A$1:O$65536,15,0)</f>
        <v>#N/A</v>
      </c>
      <c r="AC187" s="70"/>
      <c r="AD187" s="70"/>
      <c r="AE187" s="70"/>
    </row>
    <row r="188" spans="1:31" ht="45">
      <c r="A188" s="68" t="str">
        <f t="shared" si="3"/>
        <v>806100337403M COMPANY</v>
      </c>
      <c r="B188" s="69">
        <v>80610033740</v>
      </c>
      <c r="C188" s="68">
        <v>40032</v>
      </c>
      <c r="D188" s="68">
        <v>8535909000</v>
      </c>
      <c r="E188" s="68" t="s">
        <v>32</v>
      </c>
      <c r="F188" s="70">
        <v>3517</v>
      </c>
      <c r="G188" s="84">
        <v>47673</v>
      </c>
      <c r="H188" s="70" t="s">
        <v>141</v>
      </c>
      <c r="I188" s="70" t="s">
        <v>35</v>
      </c>
      <c r="J188" s="72" t="s">
        <v>589</v>
      </c>
      <c r="K188" s="72" t="s">
        <v>36</v>
      </c>
      <c r="L188" s="73" t="s">
        <v>37</v>
      </c>
      <c r="M188" s="73" t="s">
        <v>38</v>
      </c>
      <c r="N188" s="74">
        <v>2665570</v>
      </c>
      <c r="O188" s="75" t="s">
        <v>574</v>
      </c>
      <c r="P188" s="76" t="s">
        <v>575</v>
      </c>
      <c r="Q188" s="172">
        <v>46233</v>
      </c>
      <c r="R188" s="77">
        <v>46413</v>
      </c>
      <c r="S188" s="176">
        <v>46198</v>
      </c>
      <c r="T188" s="78">
        <v>46225</v>
      </c>
      <c r="U188" s="78">
        <v>46225</v>
      </c>
      <c r="V188" s="79" t="s">
        <v>41</v>
      </c>
      <c r="W188" s="79" t="s">
        <v>32</v>
      </c>
      <c r="X188" s="80" t="s">
        <v>41</v>
      </c>
      <c r="Y188" s="76" t="s">
        <v>32</v>
      </c>
      <c r="Z188" s="68"/>
      <c r="AA188" s="70" t="s">
        <v>43</v>
      </c>
      <c r="AB188" s="73" t="e">
        <f>+VLOOKUP(A188,'[1]VALID RIM NUEVAM'!A$1:O$65536,15,0)</f>
        <v>#N/A</v>
      </c>
      <c r="AC188" s="70"/>
      <c r="AD188" s="70"/>
      <c r="AE188" s="70"/>
    </row>
    <row r="189" spans="1:31" ht="45">
      <c r="A189" s="68" t="str">
        <f t="shared" si="3"/>
        <v>806100337573M COMPANY</v>
      </c>
      <c r="B189" s="69">
        <v>80610033757</v>
      </c>
      <c r="C189" s="68">
        <v>40033</v>
      </c>
      <c r="D189" s="68">
        <v>8535909000</v>
      </c>
      <c r="E189" s="68" t="s">
        <v>32</v>
      </c>
      <c r="F189" s="70">
        <v>3517</v>
      </c>
      <c r="G189" s="84">
        <v>47733</v>
      </c>
      <c r="H189" s="70" t="s">
        <v>141</v>
      </c>
      <c r="I189" s="70" t="s">
        <v>35</v>
      </c>
      <c r="J189" s="72">
        <v>6.56</v>
      </c>
      <c r="K189" s="72" t="s">
        <v>36</v>
      </c>
      <c r="L189" s="73" t="s">
        <v>37</v>
      </c>
      <c r="M189" s="73" t="s">
        <v>38</v>
      </c>
      <c r="N189" s="74">
        <v>2665570</v>
      </c>
      <c r="O189" s="75" t="s">
        <v>574</v>
      </c>
      <c r="P189" s="76" t="s">
        <v>575</v>
      </c>
      <c r="Q189" s="172">
        <v>46233</v>
      </c>
      <c r="R189" s="77">
        <v>46413</v>
      </c>
      <c r="S189" s="176">
        <v>46198</v>
      </c>
      <c r="T189" s="78">
        <v>46225</v>
      </c>
      <c r="U189" s="78">
        <v>46225</v>
      </c>
      <c r="V189" s="79" t="s">
        <v>41</v>
      </c>
      <c r="W189" s="79" t="s">
        <v>32</v>
      </c>
      <c r="X189" s="80" t="s">
        <v>41</v>
      </c>
      <c r="Y189" s="76" t="s">
        <v>32</v>
      </c>
      <c r="Z189" s="68"/>
      <c r="AA189" s="70" t="s">
        <v>43</v>
      </c>
      <c r="AB189" s="73" t="e">
        <f>+VLOOKUP(A189,'[1]VALID RIM NUEVAM'!A$1:O$65536,15,0)</f>
        <v>#N/A</v>
      </c>
      <c r="AC189" s="70"/>
      <c r="AD189" s="70"/>
      <c r="AE189" s="70"/>
    </row>
    <row r="190" spans="1:31" ht="45">
      <c r="A190" s="68" t="str">
        <f t="shared" si="3"/>
        <v>806100337653M COMPANY</v>
      </c>
      <c r="B190" s="69">
        <v>80610033765</v>
      </c>
      <c r="C190" s="68">
        <v>40037</v>
      </c>
      <c r="D190" s="68">
        <v>8535909000</v>
      </c>
      <c r="E190" s="68" t="s">
        <v>32</v>
      </c>
      <c r="F190" s="70">
        <v>3517</v>
      </c>
      <c r="G190" s="84">
        <v>47733</v>
      </c>
      <c r="H190" s="70" t="s">
        <v>141</v>
      </c>
      <c r="I190" s="70" t="s">
        <v>35</v>
      </c>
      <c r="J190" s="72">
        <v>4.7084999999999999</v>
      </c>
      <c r="K190" s="72" t="s">
        <v>36</v>
      </c>
      <c r="L190" s="73" t="s">
        <v>590</v>
      </c>
      <c r="M190" s="73" t="s">
        <v>38</v>
      </c>
      <c r="N190" s="74">
        <v>2665570</v>
      </c>
      <c r="O190" s="75" t="s">
        <v>574</v>
      </c>
      <c r="P190" s="76" t="s">
        <v>575</v>
      </c>
      <c r="Q190" s="172">
        <v>46233</v>
      </c>
      <c r="R190" s="77">
        <v>46413</v>
      </c>
      <c r="S190" s="176">
        <v>46198</v>
      </c>
      <c r="T190" s="78">
        <v>46225</v>
      </c>
      <c r="U190" s="78">
        <v>46225</v>
      </c>
      <c r="V190" s="79"/>
      <c r="W190" s="79"/>
      <c r="X190" s="80"/>
      <c r="Y190" s="76"/>
      <c r="Z190" s="68"/>
      <c r="AA190" s="70"/>
      <c r="AB190" s="73" t="e">
        <f>+VLOOKUP(A190,'[1]VALID RIM NUEVAM'!A$1:O$65536,15,0)</f>
        <v>#N/A</v>
      </c>
      <c r="AC190" s="70"/>
      <c r="AD190" s="70"/>
      <c r="AE190" s="70"/>
    </row>
    <row r="191" spans="1:31" ht="45">
      <c r="A191" s="68" t="str">
        <f t="shared" si="3"/>
        <v>806100337813M COMPANY</v>
      </c>
      <c r="B191" s="69">
        <v>80610033781</v>
      </c>
      <c r="C191" s="68">
        <v>40045</v>
      </c>
      <c r="D191" s="68">
        <v>8535909000</v>
      </c>
      <c r="E191" s="68" t="s">
        <v>32</v>
      </c>
      <c r="F191" s="70">
        <v>3517</v>
      </c>
      <c r="G191" s="84">
        <v>47673</v>
      </c>
      <c r="H191" s="70" t="s">
        <v>141</v>
      </c>
      <c r="I191" s="70" t="s">
        <v>35</v>
      </c>
      <c r="J191" s="72" t="s">
        <v>591</v>
      </c>
      <c r="K191" s="72" t="s">
        <v>36</v>
      </c>
      <c r="L191" s="73" t="s">
        <v>37</v>
      </c>
      <c r="M191" s="73" t="s">
        <v>38</v>
      </c>
      <c r="N191" s="74">
        <v>2665570</v>
      </c>
      <c r="O191" s="75" t="s">
        <v>574</v>
      </c>
      <c r="P191" s="76" t="s">
        <v>575</v>
      </c>
      <c r="Q191" s="172">
        <v>46233</v>
      </c>
      <c r="R191" s="77">
        <v>46413</v>
      </c>
      <c r="S191" s="176">
        <v>46198</v>
      </c>
      <c r="T191" s="78">
        <v>46225</v>
      </c>
      <c r="U191" s="78">
        <v>46225</v>
      </c>
      <c r="V191" s="79" t="s">
        <v>41</v>
      </c>
      <c r="W191" s="79" t="s">
        <v>32</v>
      </c>
      <c r="X191" s="80" t="s">
        <v>41</v>
      </c>
      <c r="Y191" s="76" t="s">
        <v>32</v>
      </c>
      <c r="Z191" s="68"/>
      <c r="AA191" s="70" t="s">
        <v>43</v>
      </c>
      <c r="AB191" s="73" t="e">
        <f>+VLOOKUP(A191,'[1]VALID RIM NUEVAM'!A$1:O$65536,15,0)</f>
        <v>#N/A</v>
      </c>
      <c r="AC191" s="70"/>
      <c r="AD191" s="70"/>
      <c r="AE191" s="70"/>
    </row>
    <row r="192" spans="1:31" ht="45">
      <c r="A192" s="68" t="str">
        <f t="shared" si="3"/>
        <v>806100338073M COMPANY</v>
      </c>
      <c r="B192" s="69">
        <v>80610033807</v>
      </c>
      <c r="C192" s="68">
        <v>40049</v>
      </c>
      <c r="D192" s="68">
        <v>8535909000</v>
      </c>
      <c r="E192" s="68" t="s">
        <v>32</v>
      </c>
      <c r="F192" s="70">
        <v>3517</v>
      </c>
      <c r="G192" s="84">
        <v>47673</v>
      </c>
      <c r="H192" s="70" t="s">
        <v>141</v>
      </c>
      <c r="I192" s="70" t="s">
        <v>35</v>
      </c>
      <c r="J192" s="72" t="s">
        <v>592</v>
      </c>
      <c r="K192" s="72" t="s">
        <v>36</v>
      </c>
      <c r="L192" s="73" t="s">
        <v>37</v>
      </c>
      <c r="M192" s="73" t="s">
        <v>38</v>
      </c>
      <c r="N192" s="74">
        <v>2665570</v>
      </c>
      <c r="O192" s="75" t="s">
        <v>574</v>
      </c>
      <c r="P192" s="76" t="s">
        <v>575</v>
      </c>
      <c r="Q192" s="172">
        <v>46233</v>
      </c>
      <c r="R192" s="77">
        <v>46413</v>
      </c>
      <c r="S192" s="176">
        <v>46198</v>
      </c>
      <c r="T192" s="78">
        <v>46225</v>
      </c>
      <c r="U192" s="78">
        <v>46225</v>
      </c>
      <c r="V192" s="79" t="s">
        <v>41</v>
      </c>
      <c r="W192" s="79" t="s">
        <v>32</v>
      </c>
      <c r="X192" s="80" t="s">
        <v>41</v>
      </c>
      <c r="Y192" s="76" t="s">
        <v>32</v>
      </c>
      <c r="Z192" s="68"/>
      <c r="AA192" s="70" t="s">
        <v>43</v>
      </c>
      <c r="AB192" s="73" t="e">
        <f>+VLOOKUP(A192,'[1]VALID RIM NUEVAM'!A$1:O$65536,15,0)</f>
        <v>#N/A</v>
      </c>
      <c r="AC192" s="70"/>
      <c r="AD192" s="70"/>
      <c r="AE192" s="70"/>
    </row>
    <row r="193" spans="1:31" ht="45">
      <c r="A193" s="68" t="str">
        <f t="shared" si="3"/>
        <v>806100338233M COMPANY</v>
      </c>
      <c r="B193" s="69">
        <v>80610033823</v>
      </c>
      <c r="C193" s="68">
        <v>40053</v>
      </c>
      <c r="D193" s="68">
        <v>8535909000</v>
      </c>
      <c r="E193" s="68" t="s">
        <v>32</v>
      </c>
      <c r="F193" s="70">
        <v>3517</v>
      </c>
      <c r="G193" s="84">
        <v>47673</v>
      </c>
      <c r="H193" s="70" t="s">
        <v>141</v>
      </c>
      <c r="I193" s="70" t="s">
        <v>35</v>
      </c>
      <c r="J193" s="72" t="s">
        <v>593</v>
      </c>
      <c r="K193" s="72" t="s">
        <v>36</v>
      </c>
      <c r="L193" s="73" t="s">
        <v>37</v>
      </c>
      <c r="M193" s="73" t="s">
        <v>38</v>
      </c>
      <c r="N193" s="74">
        <v>2665570</v>
      </c>
      <c r="O193" s="75" t="s">
        <v>574</v>
      </c>
      <c r="P193" s="76" t="s">
        <v>575</v>
      </c>
      <c r="Q193" s="172">
        <v>46233</v>
      </c>
      <c r="R193" s="77">
        <v>46413</v>
      </c>
      <c r="S193" s="176">
        <v>46198</v>
      </c>
      <c r="T193" s="78">
        <v>46225</v>
      </c>
      <c r="U193" s="78">
        <v>46225</v>
      </c>
      <c r="V193" s="79" t="s">
        <v>41</v>
      </c>
      <c r="W193" s="79" t="s">
        <v>32</v>
      </c>
      <c r="X193" s="80" t="s">
        <v>41</v>
      </c>
      <c r="Y193" s="76" t="s">
        <v>32</v>
      </c>
      <c r="Z193" s="68"/>
      <c r="AA193" s="70" t="s">
        <v>43</v>
      </c>
      <c r="AB193" s="73" t="e">
        <f>+VLOOKUP(A193,'[1]VALID RIM NUEVAM'!A$1:O$65536,15,0)</f>
        <v>#N/A</v>
      </c>
      <c r="AC193" s="70"/>
      <c r="AD193" s="70"/>
      <c r="AE193" s="70"/>
    </row>
    <row r="194" spans="1:31" ht="45">
      <c r="A194" s="68" t="str">
        <f t="shared" si="3"/>
        <v>806100338493M COMPANY</v>
      </c>
      <c r="B194" s="69">
        <v>80610033849</v>
      </c>
      <c r="C194" s="68">
        <v>40057</v>
      </c>
      <c r="D194" s="68">
        <v>8535909000</v>
      </c>
      <c r="E194" s="68" t="s">
        <v>32</v>
      </c>
      <c r="F194" s="70">
        <v>3517</v>
      </c>
      <c r="G194" s="84">
        <v>47673</v>
      </c>
      <c r="H194" s="70" t="s">
        <v>141</v>
      </c>
      <c r="I194" s="70" t="s">
        <v>35</v>
      </c>
      <c r="J194" s="72">
        <v>13.1</v>
      </c>
      <c r="K194" s="72" t="s">
        <v>36</v>
      </c>
      <c r="L194" s="73" t="s">
        <v>37</v>
      </c>
      <c r="M194" s="73" t="s">
        <v>38</v>
      </c>
      <c r="N194" s="74">
        <v>2665570</v>
      </c>
      <c r="O194" s="75" t="s">
        <v>574</v>
      </c>
      <c r="P194" s="76" t="s">
        <v>575</v>
      </c>
      <c r="Q194" s="172">
        <v>46233</v>
      </c>
      <c r="R194" s="77">
        <v>46413</v>
      </c>
      <c r="S194" s="176">
        <v>46198</v>
      </c>
      <c r="T194" s="78">
        <v>46225</v>
      </c>
      <c r="U194" s="78">
        <v>46225</v>
      </c>
      <c r="V194" s="79" t="s">
        <v>41</v>
      </c>
      <c r="W194" s="79" t="s">
        <v>32</v>
      </c>
      <c r="X194" s="80" t="s">
        <v>41</v>
      </c>
      <c r="Y194" s="76" t="s">
        <v>32</v>
      </c>
      <c r="Z194" s="68"/>
      <c r="AA194" s="70" t="s">
        <v>43</v>
      </c>
      <c r="AB194" s="73" t="e">
        <f>+VLOOKUP(A194,'[1]VALID RIM NUEVAM'!A$1:O$65536,15,0)</f>
        <v>#N/A</v>
      </c>
      <c r="AC194" s="70"/>
      <c r="AD194" s="70"/>
      <c r="AE194" s="70"/>
    </row>
    <row r="195" spans="1:31" ht="45">
      <c r="A195" s="68" t="str">
        <f t="shared" si="3"/>
        <v>806100338983M COMPANY</v>
      </c>
      <c r="B195" s="69">
        <v>80610033898</v>
      </c>
      <c r="C195" s="68">
        <v>40137</v>
      </c>
      <c r="D195" s="68">
        <v>8535909000</v>
      </c>
      <c r="E195" s="68" t="s">
        <v>32</v>
      </c>
      <c r="F195" s="70">
        <v>3517</v>
      </c>
      <c r="G195" s="84">
        <v>47673</v>
      </c>
      <c r="H195" s="70" t="s">
        <v>141</v>
      </c>
      <c r="I195" s="70" t="s">
        <v>35</v>
      </c>
      <c r="J195" s="72" t="s">
        <v>594</v>
      </c>
      <c r="K195" s="72" t="s">
        <v>36</v>
      </c>
      <c r="L195" s="73" t="s">
        <v>37</v>
      </c>
      <c r="M195" s="73" t="s">
        <v>38</v>
      </c>
      <c r="N195" s="74">
        <v>2665570</v>
      </c>
      <c r="O195" s="75" t="s">
        <v>574</v>
      </c>
      <c r="P195" s="76" t="s">
        <v>575</v>
      </c>
      <c r="Q195" s="172">
        <v>46233</v>
      </c>
      <c r="R195" s="77">
        <v>46413</v>
      </c>
      <c r="S195" s="176">
        <v>46198</v>
      </c>
      <c r="T195" s="78">
        <v>46225</v>
      </c>
      <c r="U195" s="78">
        <v>46225</v>
      </c>
      <c r="V195" s="79" t="s">
        <v>41</v>
      </c>
      <c r="W195" s="79" t="s">
        <v>32</v>
      </c>
      <c r="X195" s="80" t="s">
        <v>41</v>
      </c>
      <c r="Y195" s="76" t="s">
        <v>32</v>
      </c>
      <c r="Z195" s="68"/>
      <c r="AA195" s="70" t="s">
        <v>43</v>
      </c>
      <c r="AB195" s="73" t="e">
        <f>+VLOOKUP(A195,'[1]VALID RIM NUEVAM'!A$1:O$65536,15,0)</f>
        <v>#N/A</v>
      </c>
      <c r="AC195" s="70"/>
      <c r="AD195" s="70"/>
      <c r="AE195" s="70"/>
    </row>
    <row r="196" spans="1:31" ht="45">
      <c r="A196" s="68" t="str">
        <f t="shared" si="3"/>
        <v>806100339223M COMPANY</v>
      </c>
      <c r="B196" s="69">
        <v>80610033922</v>
      </c>
      <c r="C196" s="68">
        <v>40149</v>
      </c>
      <c r="D196" s="68">
        <v>8535909000</v>
      </c>
      <c r="E196" s="68" t="s">
        <v>32</v>
      </c>
      <c r="F196" s="70">
        <v>3517</v>
      </c>
      <c r="G196" s="84">
        <v>47733</v>
      </c>
      <c r="H196" s="70" t="s">
        <v>141</v>
      </c>
      <c r="I196" s="70" t="s">
        <v>35</v>
      </c>
      <c r="J196" s="72">
        <v>12.327999999999999</v>
      </c>
      <c r="K196" s="72" t="s">
        <v>36</v>
      </c>
      <c r="L196" s="73" t="s">
        <v>37</v>
      </c>
      <c r="M196" s="73" t="s">
        <v>38</v>
      </c>
      <c r="N196" s="74">
        <v>2665570</v>
      </c>
      <c r="O196" s="75" t="s">
        <v>574</v>
      </c>
      <c r="P196" s="76" t="s">
        <v>575</v>
      </c>
      <c r="Q196" s="172">
        <v>46233</v>
      </c>
      <c r="R196" s="77">
        <v>46413</v>
      </c>
      <c r="S196" s="176">
        <v>46198</v>
      </c>
      <c r="T196" s="78">
        <v>46225</v>
      </c>
      <c r="U196" s="78">
        <v>46225</v>
      </c>
      <c r="V196" s="79" t="s">
        <v>41</v>
      </c>
      <c r="W196" s="79" t="s">
        <v>32</v>
      </c>
      <c r="X196" s="80" t="s">
        <v>41</v>
      </c>
      <c r="Y196" s="76" t="s">
        <v>32</v>
      </c>
      <c r="Z196" s="68"/>
      <c r="AA196" s="70" t="s">
        <v>43</v>
      </c>
      <c r="AB196" s="73" t="e">
        <f>+VLOOKUP(A196,'[1]VALID RIM NUEVAM'!A$1:O$65536,15,0)</f>
        <v>#N/A</v>
      </c>
      <c r="AC196" s="70"/>
      <c r="AD196" s="70"/>
      <c r="AE196" s="70"/>
    </row>
    <row r="197" spans="1:31" ht="45">
      <c r="A197" s="68" t="str">
        <f t="shared" si="3"/>
        <v>806100339633M COMPANY</v>
      </c>
      <c r="B197" s="102">
        <v>80610033963</v>
      </c>
      <c r="C197" s="103">
        <v>40166</v>
      </c>
      <c r="D197" s="103">
        <v>8535909000</v>
      </c>
      <c r="E197" s="103" t="s">
        <v>32</v>
      </c>
      <c r="F197" s="104">
        <v>3517</v>
      </c>
      <c r="G197" s="105">
        <v>47673</v>
      </c>
      <c r="H197" s="70" t="s">
        <v>141</v>
      </c>
      <c r="I197" s="70" t="s">
        <v>35</v>
      </c>
      <c r="J197" s="72">
        <v>16.09</v>
      </c>
      <c r="K197" s="72" t="s">
        <v>36</v>
      </c>
      <c r="L197" s="73" t="s">
        <v>37</v>
      </c>
      <c r="M197" s="73" t="s">
        <v>38</v>
      </c>
      <c r="N197" s="74">
        <v>2665570</v>
      </c>
      <c r="O197" s="75" t="s">
        <v>574</v>
      </c>
      <c r="P197" s="76" t="s">
        <v>575</v>
      </c>
      <c r="Q197" s="172">
        <v>46233</v>
      </c>
      <c r="R197" s="77">
        <v>46413</v>
      </c>
      <c r="S197" s="176">
        <v>46198</v>
      </c>
      <c r="T197" s="78">
        <v>46225</v>
      </c>
      <c r="U197" s="78">
        <v>46225</v>
      </c>
      <c r="V197" s="79" t="s">
        <v>41</v>
      </c>
      <c r="W197" s="79" t="s">
        <v>32</v>
      </c>
      <c r="X197" s="80" t="s">
        <v>41</v>
      </c>
      <c r="Y197" s="76" t="s">
        <v>32</v>
      </c>
      <c r="Z197" s="68"/>
      <c r="AA197" s="70" t="s">
        <v>43</v>
      </c>
      <c r="AB197" s="73" t="e">
        <f>+VLOOKUP(A197,'[1]VALID RIM NUEVAM'!A$1:O$65536,15,0)</f>
        <v>#N/A</v>
      </c>
      <c r="AC197" s="70"/>
      <c r="AD197" s="70"/>
      <c r="AE197" s="70"/>
    </row>
    <row r="198" spans="1:31" ht="45">
      <c r="A198" s="68" t="str">
        <f t="shared" si="3"/>
        <v>806100339893M COMPANY</v>
      </c>
      <c r="B198" s="102">
        <v>80610033989</v>
      </c>
      <c r="C198" s="103">
        <v>40172</v>
      </c>
      <c r="D198" s="103">
        <v>8535909000</v>
      </c>
      <c r="E198" s="103" t="s">
        <v>32</v>
      </c>
      <c r="F198" s="104">
        <v>3517</v>
      </c>
      <c r="G198" s="105">
        <v>47673</v>
      </c>
      <c r="H198" s="70" t="s">
        <v>141</v>
      </c>
      <c r="I198" s="70" t="s">
        <v>35</v>
      </c>
      <c r="J198" s="72">
        <v>23.9</v>
      </c>
      <c r="K198" s="72" t="s">
        <v>36</v>
      </c>
      <c r="L198" s="73" t="s">
        <v>37</v>
      </c>
      <c r="M198" s="73" t="s">
        <v>38</v>
      </c>
      <c r="N198" s="74">
        <v>2665570</v>
      </c>
      <c r="O198" s="75" t="s">
        <v>574</v>
      </c>
      <c r="P198" s="76" t="s">
        <v>575</v>
      </c>
      <c r="Q198" s="172">
        <v>46233</v>
      </c>
      <c r="R198" s="77">
        <v>46413</v>
      </c>
      <c r="S198" s="176">
        <v>46198</v>
      </c>
      <c r="T198" s="78">
        <v>46225</v>
      </c>
      <c r="U198" s="78">
        <v>46225</v>
      </c>
      <c r="V198" s="79" t="s">
        <v>41</v>
      </c>
      <c r="W198" s="79" t="s">
        <v>32</v>
      </c>
      <c r="X198" s="80" t="s">
        <v>41</v>
      </c>
      <c r="Y198" s="76" t="s">
        <v>32</v>
      </c>
      <c r="Z198" s="68"/>
      <c r="AA198" s="70" t="s">
        <v>43</v>
      </c>
      <c r="AB198" s="73" t="e">
        <f>+VLOOKUP(A198,'[1]VALID RIM NUEVAM'!A$1:O$65536,15,0)</f>
        <v>#N/A</v>
      </c>
      <c r="AC198" s="70"/>
      <c r="AD198" s="70"/>
      <c r="AE198" s="70"/>
    </row>
    <row r="199" spans="1:31" ht="45">
      <c r="A199" s="68" t="str">
        <f t="shared" si="3"/>
        <v>806105966133M COMPANY</v>
      </c>
      <c r="B199" s="69">
        <v>80610596613</v>
      </c>
      <c r="C199" s="68">
        <v>804</v>
      </c>
      <c r="D199" s="68">
        <v>8536909000</v>
      </c>
      <c r="E199" s="68" t="s">
        <v>32</v>
      </c>
      <c r="F199" s="70">
        <v>3518</v>
      </c>
      <c r="G199" s="84">
        <v>47673</v>
      </c>
      <c r="H199" s="70" t="s">
        <v>141</v>
      </c>
      <c r="I199" s="70" t="s">
        <v>35</v>
      </c>
      <c r="J199" s="72">
        <v>0.16</v>
      </c>
      <c r="K199" s="72" t="s">
        <v>36</v>
      </c>
      <c r="L199" s="73" t="s">
        <v>62</v>
      </c>
      <c r="M199" s="73" t="s">
        <v>38</v>
      </c>
      <c r="N199" s="74">
        <v>2665570</v>
      </c>
      <c r="O199" s="75" t="s">
        <v>574</v>
      </c>
      <c r="P199" s="76" t="s">
        <v>575</v>
      </c>
      <c r="Q199" s="172">
        <v>46233</v>
      </c>
      <c r="R199" s="77">
        <v>46413</v>
      </c>
      <c r="S199" s="176">
        <v>46198</v>
      </c>
      <c r="T199" s="78">
        <v>46225</v>
      </c>
      <c r="U199" s="78">
        <v>46225</v>
      </c>
      <c r="V199" s="79" t="s">
        <v>41</v>
      </c>
      <c r="W199" s="79" t="s">
        <v>32</v>
      </c>
      <c r="X199" s="80" t="s">
        <v>41</v>
      </c>
      <c r="Y199" s="76" t="s">
        <v>32</v>
      </c>
      <c r="Z199" s="68"/>
      <c r="AA199" s="70" t="s">
        <v>43</v>
      </c>
      <c r="AB199" s="73" t="e">
        <f>+VLOOKUP(A199,'[1]VALID RIM NUEVAM'!A$1:O$65536,15,0)</f>
        <v>#N/A</v>
      </c>
      <c r="AC199" s="70"/>
      <c r="AD199" s="70"/>
      <c r="AE199" s="70"/>
    </row>
    <row r="200" spans="1:31" ht="45">
      <c r="A200" s="68" t="str">
        <f t="shared" si="3"/>
        <v>806107345373M COMPANY</v>
      </c>
      <c r="B200" s="69">
        <v>80610734537</v>
      </c>
      <c r="C200" s="68" t="s">
        <v>595</v>
      </c>
      <c r="D200" s="68">
        <v>8536909000</v>
      </c>
      <c r="E200" s="68" t="s">
        <v>32</v>
      </c>
      <c r="F200" s="70">
        <v>3518</v>
      </c>
      <c r="G200" s="84">
        <v>47673</v>
      </c>
      <c r="H200" s="70" t="s">
        <v>141</v>
      </c>
      <c r="I200" s="70" t="s">
        <v>35</v>
      </c>
      <c r="J200" s="72">
        <v>0.26</v>
      </c>
      <c r="K200" s="72" t="s">
        <v>36</v>
      </c>
      <c r="L200" s="73" t="s">
        <v>62</v>
      </c>
      <c r="M200" s="73" t="s">
        <v>38</v>
      </c>
      <c r="N200" s="74">
        <v>2665570</v>
      </c>
      <c r="O200" s="75" t="s">
        <v>574</v>
      </c>
      <c r="P200" s="76" t="s">
        <v>575</v>
      </c>
      <c r="Q200" s="172">
        <v>46233</v>
      </c>
      <c r="R200" s="77">
        <v>46413</v>
      </c>
      <c r="S200" s="176">
        <v>46198</v>
      </c>
      <c r="T200" s="78">
        <v>46225</v>
      </c>
      <c r="U200" s="78">
        <v>46225</v>
      </c>
      <c r="V200" s="79" t="s">
        <v>41</v>
      </c>
      <c r="W200" s="79" t="s">
        <v>32</v>
      </c>
      <c r="X200" s="80" t="s">
        <v>41</v>
      </c>
      <c r="Y200" s="76" t="s">
        <v>32</v>
      </c>
      <c r="Z200" s="68"/>
      <c r="AA200" s="70" t="s">
        <v>43</v>
      </c>
      <c r="AB200" s="73" t="e">
        <f>+VLOOKUP(A200,'[1]VALID RIM NUEVAM'!A$1:O$65536,15,0)</f>
        <v>#N/A</v>
      </c>
      <c r="AC200" s="70"/>
      <c r="AD200" s="70"/>
      <c r="AE200" s="70"/>
    </row>
    <row r="201" spans="1:31" ht="30">
      <c r="A201" s="68" t="str">
        <f t="shared" si="3"/>
        <v>700070825173M COMPANY</v>
      </c>
      <c r="B201" s="69">
        <v>70007082517</v>
      </c>
      <c r="C201" s="68" t="s">
        <v>596</v>
      </c>
      <c r="D201" s="99">
        <v>3005909000</v>
      </c>
      <c r="E201" s="99">
        <v>20240915</v>
      </c>
      <c r="F201" s="106" t="s">
        <v>597</v>
      </c>
      <c r="G201" s="71">
        <v>48346</v>
      </c>
      <c r="H201" s="106" t="s">
        <v>598</v>
      </c>
      <c r="I201" s="106" t="s">
        <v>35</v>
      </c>
      <c r="J201" s="72">
        <v>0.69</v>
      </c>
      <c r="K201" s="72" t="s">
        <v>36</v>
      </c>
      <c r="L201" s="73" t="s">
        <v>37</v>
      </c>
      <c r="M201" s="73" t="s">
        <v>96</v>
      </c>
      <c r="N201" s="74">
        <v>2670818</v>
      </c>
      <c r="O201" s="75" t="s">
        <v>599</v>
      </c>
      <c r="P201" s="76" t="s">
        <v>600</v>
      </c>
      <c r="Q201" s="172">
        <v>46230</v>
      </c>
      <c r="R201" s="77">
        <v>46413</v>
      </c>
      <c r="S201" s="176">
        <v>46212</v>
      </c>
      <c r="T201" s="78">
        <v>46217</v>
      </c>
      <c r="U201" s="78">
        <v>46219</v>
      </c>
      <c r="V201" s="79" t="s">
        <v>41</v>
      </c>
      <c r="W201" s="79" t="s">
        <v>32</v>
      </c>
      <c r="X201" s="80" t="s">
        <v>41</v>
      </c>
      <c r="Y201" s="76" t="s">
        <v>32</v>
      </c>
      <c r="Z201" s="68"/>
      <c r="AA201" s="70" t="s">
        <v>43</v>
      </c>
      <c r="AB201" s="107" t="e">
        <f>+VLOOKUP(A201,'[1]VALID RIM NUEVAM'!A$1:O$65536,15,0)</f>
        <v>#N/A</v>
      </c>
      <c r="AC201" s="70" t="s">
        <v>43</v>
      </c>
      <c r="AD201" s="70">
        <v>2597561</v>
      </c>
      <c r="AE201" s="70" t="s">
        <v>601</v>
      </c>
    </row>
    <row r="202" spans="1:31" ht="30">
      <c r="A202" s="68" t="str">
        <f t="shared" si="3"/>
        <v>439101611733M COMPANY</v>
      </c>
      <c r="B202" s="69">
        <v>43910161173</v>
      </c>
      <c r="C202" s="68" t="s">
        <v>602</v>
      </c>
      <c r="D202" s="68">
        <v>3919909000</v>
      </c>
      <c r="E202" s="68">
        <v>20127313</v>
      </c>
      <c r="F202" s="70" t="s">
        <v>603</v>
      </c>
      <c r="G202" s="71">
        <v>46726</v>
      </c>
      <c r="H202" s="70" t="s">
        <v>604</v>
      </c>
      <c r="I202" s="70" t="s">
        <v>35</v>
      </c>
      <c r="J202" s="72" t="s">
        <v>605</v>
      </c>
      <c r="K202" s="72" t="s">
        <v>36</v>
      </c>
      <c r="L202" s="73" t="s">
        <v>37</v>
      </c>
      <c r="M202" s="73" t="s">
        <v>96</v>
      </c>
      <c r="N202" s="74">
        <v>2670818</v>
      </c>
      <c r="O202" s="75" t="s">
        <v>599</v>
      </c>
      <c r="P202" s="76" t="s">
        <v>600</v>
      </c>
      <c r="Q202" s="172">
        <v>46230</v>
      </c>
      <c r="R202" s="77">
        <v>46413</v>
      </c>
      <c r="S202" s="176">
        <v>46212</v>
      </c>
      <c r="T202" s="78">
        <v>46217</v>
      </c>
      <c r="U202" s="78">
        <v>46219</v>
      </c>
      <c r="V202" s="79" t="s">
        <v>41</v>
      </c>
      <c r="W202" s="79" t="s">
        <v>32</v>
      </c>
      <c r="X202" s="80" t="s">
        <v>41</v>
      </c>
      <c r="Y202" s="76" t="s">
        <v>32</v>
      </c>
      <c r="Z202" s="68"/>
      <c r="AA202" s="70" t="s">
        <v>43</v>
      </c>
      <c r="AB202" s="107" t="e">
        <f>+VLOOKUP(A202,'[1]VALID RIM NUEVAM'!A$1:O$65536,15,0)</f>
        <v>#N/A</v>
      </c>
      <c r="AC202" s="70" t="s">
        <v>43</v>
      </c>
      <c r="AD202" s="70">
        <v>25103484</v>
      </c>
      <c r="AE202" s="70" t="s">
        <v>606</v>
      </c>
    </row>
    <row r="203" spans="1:31" ht="45">
      <c r="A203" s="68" t="str">
        <f t="shared" si="3"/>
        <v>700070805113M COMPANY</v>
      </c>
      <c r="B203" s="69">
        <v>70007080511</v>
      </c>
      <c r="C203" s="68" t="s">
        <v>607</v>
      </c>
      <c r="D203" s="68">
        <v>3006101000</v>
      </c>
      <c r="E203" s="68">
        <v>20251692</v>
      </c>
      <c r="F203" s="70" t="s">
        <v>608</v>
      </c>
      <c r="G203" s="71">
        <v>48694</v>
      </c>
      <c r="H203" s="70" t="s">
        <v>604</v>
      </c>
      <c r="I203" s="70" t="s">
        <v>35</v>
      </c>
      <c r="J203" s="72">
        <v>0.20180000000000001</v>
      </c>
      <c r="K203" s="72" t="s">
        <v>36</v>
      </c>
      <c r="L203" s="73" t="s">
        <v>37</v>
      </c>
      <c r="M203" s="73" t="s">
        <v>46</v>
      </c>
      <c r="N203" s="74">
        <v>2670818</v>
      </c>
      <c r="O203" s="75" t="s">
        <v>599</v>
      </c>
      <c r="P203" s="76" t="s">
        <v>600</v>
      </c>
      <c r="Q203" s="172">
        <v>46230</v>
      </c>
      <c r="R203" s="77">
        <v>46413</v>
      </c>
      <c r="S203" s="176">
        <v>46212</v>
      </c>
      <c r="T203" s="78">
        <v>46217</v>
      </c>
      <c r="U203" s="78">
        <v>46219</v>
      </c>
      <c r="V203" s="79" t="s">
        <v>41</v>
      </c>
      <c r="W203" s="79" t="s">
        <v>32</v>
      </c>
      <c r="X203" s="80" t="s">
        <v>41</v>
      </c>
      <c r="Y203" s="76" t="s">
        <v>32</v>
      </c>
      <c r="Z203" s="68"/>
      <c r="AA203" s="70" t="s">
        <v>43</v>
      </c>
      <c r="AB203" s="107" t="e">
        <f>+VLOOKUP(A203,'[1]VALID RIM NUEVAM'!A$1:O$65536,15,0)</f>
        <v>#N/A</v>
      </c>
      <c r="AC203" s="70" t="s">
        <v>43</v>
      </c>
      <c r="AD203" s="70"/>
      <c r="AE203" s="70" t="s">
        <v>609</v>
      </c>
    </row>
    <row r="204" spans="1:31" ht="60">
      <c r="A204" s="68" t="str">
        <f t="shared" si="3"/>
        <v>702018020823M COMPANY</v>
      </c>
      <c r="B204" s="69">
        <v>70201802082</v>
      </c>
      <c r="C204" s="68" t="s">
        <v>610</v>
      </c>
      <c r="D204" s="68">
        <v>9018110000</v>
      </c>
      <c r="E204" s="68">
        <v>20080029</v>
      </c>
      <c r="F204" s="70" t="s">
        <v>611</v>
      </c>
      <c r="G204" s="71">
        <v>49051</v>
      </c>
      <c r="H204" s="70" t="s">
        <v>604</v>
      </c>
      <c r="I204" s="70" t="s">
        <v>35</v>
      </c>
      <c r="J204" s="72">
        <v>79.73</v>
      </c>
      <c r="K204" s="72" t="s">
        <v>36</v>
      </c>
      <c r="L204" s="73" t="s">
        <v>37</v>
      </c>
      <c r="M204" s="73" t="s">
        <v>86</v>
      </c>
      <c r="N204" s="74">
        <v>2670818</v>
      </c>
      <c r="O204" s="75" t="s">
        <v>599</v>
      </c>
      <c r="P204" s="76" t="s">
        <v>600</v>
      </c>
      <c r="Q204" s="172">
        <v>46230</v>
      </c>
      <c r="R204" s="77">
        <v>46413</v>
      </c>
      <c r="S204" s="176">
        <v>46212</v>
      </c>
      <c r="T204" s="78">
        <v>46217</v>
      </c>
      <c r="U204" s="78">
        <v>46219</v>
      </c>
      <c r="V204" s="79" t="s">
        <v>41</v>
      </c>
      <c r="W204" s="79" t="s">
        <v>32</v>
      </c>
      <c r="X204" s="80" t="s">
        <v>41</v>
      </c>
      <c r="Y204" s="76" t="s">
        <v>32</v>
      </c>
      <c r="Z204" s="68"/>
      <c r="AA204" s="70" t="s">
        <v>43</v>
      </c>
      <c r="AB204" s="107" t="e">
        <f>+VLOOKUP(A204,'[1]VALID RIM NUEVAM'!A$1:O$65536,15,0)</f>
        <v>#N/A</v>
      </c>
      <c r="AC204" s="70" t="s">
        <v>43</v>
      </c>
      <c r="AD204" s="70"/>
      <c r="AE204" s="70" t="e">
        <v>#N/A</v>
      </c>
    </row>
    <row r="205" spans="1:31" ht="105">
      <c r="A205" s="68" t="str">
        <f t="shared" si="3"/>
        <v>700717651043M COMPANY</v>
      </c>
      <c r="B205" s="69">
        <v>70071765104</v>
      </c>
      <c r="C205" s="68" t="s">
        <v>612</v>
      </c>
      <c r="D205" s="68">
        <v>6307903010</v>
      </c>
      <c r="E205" s="68">
        <v>20144736</v>
      </c>
      <c r="F205" s="70" t="s">
        <v>348</v>
      </c>
      <c r="G205" s="71">
        <v>46883</v>
      </c>
      <c r="H205" s="70" t="s">
        <v>604</v>
      </c>
      <c r="I205" s="70" t="s">
        <v>35</v>
      </c>
      <c r="J205" s="72">
        <v>91.93</v>
      </c>
      <c r="K205" s="72" t="s">
        <v>36</v>
      </c>
      <c r="L205" s="73" t="s">
        <v>37</v>
      </c>
      <c r="M205" s="73" t="s">
        <v>86</v>
      </c>
      <c r="N205" s="74">
        <v>2670818</v>
      </c>
      <c r="O205" s="75" t="s">
        <v>599</v>
      </c>
      <c r="P205" s="76" t="s">
        <v>600</v>
      </c>
      <c r="Q205" s="172">
        <v>46230</v>
      </c>
      <c r="R205" s="77">
        <v>46413</v>
      </c>
      <c r="S205" s="176">
        <v>46212</v>
      </c>
      <c r="T205" s="78">
        <v>46217</v>
      </c>
      <c r="U205" s="78">
        <v>46219</v>
      </c>
      <c r="V205" s="79" t="s">
        <v>41</v>
      </c>
      <c r="W205" s="79" t="s">
        <v>32</v>
      </c>
      <c r="X205" s="80" t="s">
        <v>41</v>
      </c>
      <c r="Y205" s="76" t="s">
        <v>32</v>
      </c>
      <c r="Z205" s="68"/>
      <c r="AA205" s="70" t="s">
        <v>43</v>
      </c>
      <c r="AB205" s="107" t="e">
        <f>+VLOOKUP(A205,'[1]VALID RIM NUEVAM'!A$1:O$65536,15,0)</f>
        <v>#N/A</v>
      </c>
      <c r="AC205" s="70" t="s">
        <v>43</v>
      </c>
      <c r="AD205" s="70"/>
      <c r="AE205" s="70" t="s">
        <v>613</v>
      </c>
    </row>
    <row r="206" spans="1:31" ht="60">
      <c r="A206" s="68" t="str">
        <f t="shared" si="3"/>
        <v>700070804953M COMPANY</v>
      </c>
      <c r="B206" s="69">
        <v>70007080495</v>
      </c>
      <c r="C206" s="68" t="s">
        <v>614</v>
      </c>
      <c r="D206" s="68">
        <v>3006101000</v>
      </c>
      <c r="E206" s="68">
        <v>20203247</v>
      </c>
      <c r="F206" s="70" t="s">
        <v>615</v>
      </c>
      <c r="G206" s="71">
        <v>47996</v>
      </c>
      <c r="H206" s="70" t="s">
        <v>604</v>
      </c>
      <c r="I206" s="70" t="s">
        <v>35</v>
      </c>
      <c r="J206" s="72">
        <v>22.4</v>
      </c>
      <c r="K206" s="72" t="s">
        <v>36</v>
      </c>
      <c r="L206" s="73" t="s">
        <v>62</v>
      </c>
      <c r="M206" s="73" t="s">
        <v>46</v>
      </c>
      <c r="N206" s="74">
        <v>2670818</v>
      </c>
      <c r="O206" s="75" t="s">
        <v>599</v>
      </c>
      <c r="P206" s="76" t="s">
        <v>600</v>
      </c>
      <c r="Q206" s="172">
        <v>46230</v>
      </c>
      <c r="R206" s="77">
        <v>46413</v>
      </c>
      <c r="S206" s="176">
        <v>46212</v>
      </c>
      <c r="T206" s="78">
        <v>46217</v>
      </c>
      <c r="U206" s="78">
        <v>46219</v>
      </c>
      <c r="V206" s="79" t="s">
        <v>41</v>
      </c>
      <c r="W206" s="79" t="s">
        <v>32</v>
      </c>
      <c r="X206" s="80" t="s">
        <v>41</v>
      </c>
      <c r="Y206" s="76" t="s">
        <v>32</v>
      </c>
      <c r="Z206" s="68"/>
      <c r="AA206" s="70" t="s">
        <v>43</v>
      </c>
      <c r="AB206" s="107" t="e">
        <f>+VLOOKUP(A206,'[1]VALID RIM NUEVAM'!A$1:O$65536,15,0)</f>
        <v>#N/A</v>
      </c>
      <c r="AC206" s="70" t="s">
        <v>43</v>
      </c>
      <c r="AD206" s="70"/>
      <c r="AE206" s="70" t="s">
        <v>616</v>
      </c>
    </row>
    <row r="207" spans="1:31" ht="45">
      <c r="A207" s="68" t="str">
        <f t="shared" si="3"/>
        <v>700070825253M COMPANY</v>
      </c>
      <c r="B207" s="69">
        <v>70007082525</v>
      </c>
      <c r="C207" s="68" t="s">
        <v>617</v>
      </c>
      <c r="D207" s="68">
        <v>3005909000</v>
      </c>
      <c r="E207" s="68">
        <v>20240915</v>
      </c>
      <c r="F207" s="70" t="s">
        <v>597</v>
      </c>
      <c r="G207" s="71">
        <v>48346</v>
      </c>
      <c r="H207" s="70" t="s">
        <v>604</v>
      </c>
      <c r="I207" s="70" t="s">
        <v>35</v>
      </c>
      <c r="J207" s="72">
        <v>1.77</v>
      </c>
      <c r="K207" s="72" t="s">
        <v>36</v>
      </c>
      <c r="L207" s="73" t="s">
        <v>37</v>
      </c>
      <c r="M207" s="73" t="s">
        <v>96</v>
      </c>
      <c r="N207" s="74">
        <v>2670818</v>
      </c>
      <c r="O207" s="75" t="s">
        <v>599</v>
      </c>
      <c r="P207" s="76" t="s">
        <v>600</v>
      </c>
      <c r="Q207" s="172">
        <v>46230</v>
      </c>
      <c r="R207" s="77">
        <v>46413</v>
      </c>
      <c r="S207" s="176">
        <v>46212</v>
      </c>
      <c r="T207" s="78">
        <v>46217</v>
      </c>
      <c r="U207" s="78">
        <v>46219</v>
      </c>
      <c r="V207" s="79" t="s">
        <v>41</v>
      </c>
      <c r="W207" s="79" t="s">
        <v>32</v>
      </c>
      <c r="X207" s="80" t="s">
        <v>41</v>
      </c>
      <c r="Y207" s="76" t="s">
        <v>32</v>
      </c>
      <c r="Z207" s="68"/>
      <c r="AA207" s="70" t="s">
        <v>43</v>
      </c>
      <c r="AB207" s="107" t="e">
        <f>+VLOOKUP(A207,'[1]VALID RIM NUEVAM'!A$1:O$65536,15,0)</f>
        <v>#N/A</v>
      </c>
      <c r="AC207" s="70" t="s">
        <v>43</v>
      </c>
      <c r="AD207" s="70"/>
      <c r="AE207" s="70" t="s">
        <v>618</v>
      </c>
    </row>
    <row r="208" spans="1:31" ht="60">
      <c r="A208" s="68" t="str">
        <f t="shared" si="3"/>
        <v>700070587563M COMPANY</v>
      </c>
      <c r="B208" s="69">
        <v>70007058756</v>
      </c>
      <c r="C208" s="68" t="s">
        <v>619</v>
      </c>
      <c r="D208" s="68">
        <v>3005101000</v>
      </c>
      <c r="E208" s="68">
        <v>20142017</v>
      </c>
      <c r="F208" s="70" t="s">
        <v>620</v>
      </c>
      <c r="G208" s="71">
        <v>46825</v>
      </c>
      <c r="H208" s="70" t="s">
        <v>604</v>
      </c>
      <c r="I208" s="70" t="s">
        <v>35</v>
      </c>
      <c r="J208" s="72">
        <v>2.27</v>
      </c>
      <c r="K208" s="72" t="s">
        <v>36</v>
      </c>
      <c r="L208" s="73" t="s">
        <v>37</v>
      </c>
      <c r="M208" s="73" t="s">
        <v>621</v>
      </c>
      <c r="N208" s="74">
        <v>2670818</v>
      </c>
      <c r="O208" s="75" t="s">
        <v>599</v>
      </c>
      <c r="P208" s="76" t="s">
        <v>600</v>
      </c>
      <c r="Q208" s="172">
        <v>46230</v>
      </c>
      <c r="R208" s="77">
        <v>46413</v>
      </c>
      <c r="S208" s="176">
        <v>46212</v>
      </c>
      <c r="T208" s="78">
        <v>46217</v>
      </c>
      <c r="U208" s="78">
        <v>46219</v>
      </c>
      <c r="V208" s="79" t="s">
        <v>41</v>
      </c>
      <c r="W208" s="79" t="s">
        <v>32</v>
      </c>
      <c r="X208" s="80" t="s">
        <v>41</v>
      </c>
      <c r="Y208" s="76" t="s">
        <v>32</v>
      </c>
      <c r="Z208" s="68"/>
      <c r="AA208" s="70" t="s">
        <v>43</v>
      </c>
      <c r="AB208" s="107" t="e">
        <f>+VLOOKUP(A208,'[1]VALID RIM NUEVAM'!A$1:O$65536,15,0)</f>
        <v>#N/A</v>
      </c>
      <c r="AC208" s="70" t="s">
        <v>43</v>
      </c>
      <c r="AD208" s="70"/>
      <c r="AE208" s="70" t="s">
        <v>622</v>
      </c>
    </row>
    <row r="209" spans="1:31" ht="75">
      <c r="A209" s="68" t="str">
        <f t="shared" si="3"/>
        <v>700070588973M COMPANY</v>
      </c>
      <c r="B209" s="69">
        <v>70007058897</v>
      </c>
      <c r="C209" s="68" t="s">
        <v>623</v>
      </c>
      <c r="D209" s="68">
        <v>3005101000</v>
      </c>
      <c r="E209" s="68">
        <v>20142017</v>
      </c>
      <c r="F209" s="70" t="s">
        <v>620</v>
      </c>
      <c r="G209" s="71">
        <v>46825</v>
      </c>
      <c r="H209" s="70" t="s">
        <v>604</v>
      </c>
      <c r="I209" s="70" t="s">
        <v>35</v>
      </c>
      <c r="J209" s="72">
        <v>2.1875</v>
      </c>
      <c r="K209" s="72" t="s">
        <v>36</v>
      </c>
      <c r="L209" s="73" t="s">
        <v>37</v>
      </c>
      <c r="M209" s="73" t="s">
        <v>621</v>
      </c>
      <c r="N209" s="74">
        <v>2670818</v>
      </c>
      <c r="O209" s="75" t="s">
        <v>599</v>
      </c>
      <c r="P209" s="76" t="s">
        <v>600</v>
      </c>
      <c r="Q209" s="172">
        <v>46230</v>
      </c>
      <c r="R209" s="77">
        <v>46413</v>
      </c>
      <c r="S209" s="176">
        <v>46212</v>
      </c>
      <c r="T209" s="78">
        <v>46217</v>
      </c>
      <c r="U209" s="78">
        <v>46219</v>
      </c>
      <c r="V209" s="79" t="s">
        <v>41</v>
      </c>
      <c r="W209" s="79" t="s">
        <v>32</v>
      </c>
      <c r="X209" s="80" t="s">
        <v>41</v>
      </c>
      <c r="Y209" s="76" t="s">
        <v>32</v>
      </c>
      <c r="Z209" s="68"/>
      <c r="AA209" s="70" t="s">
        <v>43</v>
      </c>
      <c r="AB209" s="107" t="e">
        <f>+VLOOKUP(A209,'[1]VALID RIM NUEVAM'!A$1:O$65536,15,0)</f>
        <v>#N/A</v>
      </c>
      <c r="AC209" s="70" t="s">
        <v>43</v>
      </c>
      <c r="AD209" s="70"/>
      <c r="AE209" s="70" t="s">
        <v>624</v>
      </c>
    </row>
    <row r="210" spans="1:31" ht="60">
      <c r="A210" s="68" t="str">
        <f t="shared" si="3"/>
        <v>700070585823M COMPANY</v>
      </c>
      <c r="B210" s="69">
        <v>70007058582</v>
      </c>
      <c r="C210" s="68" t="s">
        <v>625</v>
      </c>
      <c r="D210" s="68">
        <v>3005101000</v>
      </c>
      <c r="E210" s="68">
        <v>20128863</v>
      </c>
      <c r="F210" s="70" t="s">
        <v>626</v>
      </c>
      <c r="G210" s="71">
        <v>46558</v>
      </c>
      <c r="H210" s="70" t="s">
        <v>604</v>
      </c>
      <c r="I210" s="70" t="s">
        <v>35</v>
      </c>
      <c r="J210" s="72">
        <v>1.1859</v>
      </c>
      <c r="K210" s="72" t="s">
        <v>36</v>
      </c>
      <c r="L210" s="73" t="s">
        <v>37</v>
      </c>
      <c r="M210" s="73" t="s">
        <v>621</v>
      </c>
      <c r="N210" s="74">
        <v>2670818</v>
      </c>
      <c r="O210" s="75" t="s">
        <v>599</v>
      </c>
      <c r="P210" s="76" t="s">
        <v>600</v>
      </c>
      <c r="Q210" s="172">
        <v>46230</v>
      </c>
      <c r="R210" s="77">
        <v>46413</v>
      </c>
      <c r="S210" s="176">
        <v>46212</v>
      </c>
      <c r="T210" s="78">
        <v>46217</v>
      </c>
      <c r="U210" s="78">
        <v>46219</v>
      </c>
      <c r="V210" s="79" t="s">
        <v>41</v>
      </c>
      <c r="W210" s="79" t="s">
        <v>32</v>
      </c>
      <c r="X210" s="80" t="s">
        <v>41</v>
      </c>
      <c r="Y210" s="76" t="s">
        <v>32</v>
      </c>
      <c r="Z210" s="68"/>
      <c r="AA210" s="70" t="s">
        <v>43</v>
      </c>
      <c r="AB210" s="107" t="e">
        <f>+VLOOKUP(A210,'[1]VALID RIM NUEVAM'!A$1:O$65536,15,0)</f>
        <v>#N/A</v>
      </c>
      <c r="AC210" s="70" t="s">
        <v>43</v>
      </c>
      <c r="AD210" s="70"/>
      <c r="AE210" s="70" t="s">
        <v>627</v>
      </c>
    </row>
    <row r="211" spans="1:31" ht="60">
      <c r="A211" s="68" t="str">
        <f t="shared" si="3"/>
        <v>700070584003M COMPANY</v>
      </c>
      <c r="B211" s="69">
        <v>70007058400</v>
      </c>
      <c r="C211" s="68" t="s">
        <v>628</v>
      </c>
      <c r="D211" s="68">
        <v>3005101000</v>
      </c>
      <c r="E211" s="68">
        <v>20128863</v>
      </c>
      <c r="F211" s="70" t="s">
        <v>626</v>
      </c>
      <c r="G211" s="71">
        <v>46558</v>
      </c>
      <c r="H211" s="70" t="s">
        <v>604</v>
      </c>
      <c r="I211" s="70" t="s">
        <v>35</v>
      </c>
      <c r="J211" s="72">
        <v>1.1342000000000001</v>
      </c>
      <c r="K211" s="72" t="s">
        <v>36</v>
      </c>
      <c r="L211" s="73" t="s">
        <v>37</v>
      </c>
      <c r="M211" s="73" t="s">
        <v>621</v>
      </c>
      <c r="N211" s="74">
        <v>2670818</v>
      </c>
      <c r="O211" s="75" t="s">
        <v>599</v>
      </c>
      <c r="P211" s="76" t="s">
        <v>600</v>
      </c>
      <c r="Q211" s="172">
        <v>46230</v>
      </c>
      <c r="R211" s="77">
        <v>46413</v>
      </c>
      <c r="S211" s="176">
        <v>46212</v>
      </c>
      <c r="T211" s="78">
        <v>46217</v>
      </c>
      <c r="U211" s="78">
        <v>46219</v>
      </c>
      <c r="V211" s="79" t="s">
        <v>41</v>
      </c>
      <c r="W211" s="79" t="s">
        <v>32</v>
      </c>
      <c r="X211" s="80" t="s">
        <v>41</v>
      </c>
      <c r="Y211" s="76" t="s">
        <v>32</v>
      </c>
      <c r="Z211" s="68"/>
      <c r="AA211" s="70" t="s">
        <v>43</v>
      </c>
      <c r="AB211" s="99" t="e">
        <f>+VLOOKUP(A211,'[1]VALID RIM NUEVAM'!A$1:O$65536,15,0)</f>
        <v>#N/A</v>
      </c>
      <c r="AC211" s="70" t="s">
        <v>43</v>
      </c>
      <c r="AD211" s="70"/>
      <c r="AE211" s="70" t="s">
        <v>629</v>
      </c>
    </row>
    <row r="212" spans="1:31" ht="60">
      <c r="A212" s="68" t="str">
        <f t="shared" si="3"/>
        <v>700070585743M COMPANY</v>
      </c>
      <c r="B212" s="69">
        <v>70007058574</v>
      </c>
      <c r="C212" s="68" t="s">
        <v>630</v>
      </c>
      <c r="D212" s="68">
        <v>3005101000</v>
      </c>
      <c r="E212" s="68">
        <v>20128863</v>
      </c>
      <c r="F212" s="70" t="s">
        <v>626</v>
      </c>
      <c r="G212" s="71">
        <v>46558</v>
      </c>
      <c r="H212" s="70" t="s">
        <v>604</v>
      </c>
      <c r="I212" s="70" t="s">
        <v>35</v>
      </c>
      <c r="J212" s="72">
        <v>2.5499999999999998</v>
      </c>
      <c r="K212" s="72" t="s">
        <v>36</v>
      </c>
      <c r="L212" s="73" t="s">
        <v>37</v>
      </c>
      <c r="M212" s="73" t="s">
        <v>621</v>
      </c>
      <c r="N212" s="74">
        <v>2670818</v>
      </c>
      <c r="O212" s="75" t="s">
        <v>599</v>
      </c>
      <c r="P212" s="76" t="s">
        <v>600</v>
      </c>
      <c r="Q212" s="172">
        <v>46230</v>
      </c>
      <c r="R212" s="77">
        <v>46413</v>
      </c>
      <c r="S212" s="176">
        <v>46212</v>
      </c>
      <c r="T212" s="78">
        <v>46217</v>
      </c>
      <c r="U212" s="78">
        <v>46219</v>
      </c>
      <c r="V212" s="79" t="s">
        <v>41</v>
      </c>
      <c r="W212" s="79" t="s">
        <v>32</v>
      </c>
      <c r="X212" s="80" t="s">
        <v>41</v>
      </c>
      <c r="Y212" s="76" t="s">
        <v>32</v>
      </c>
      <c r="Z212" s="68"/>
      <c r="AA212" s="70" t="s">
        <v>43</v>
      </c>
      <c r="AB212" s="107" t="e">
        <f>+VLOOKUP(A212,'[1]VALID RIM NUEVAM'!A$1:O$65536,15,0)</f>
        <v>#N/A</v>
      </c>
      <c r="AC212" s="70" t="s">
        <v>43</v>
      </c>
      <c r="AD212" s="70"/>
      <c r="AE212" s="70" t="s">
        <v>631</v>
      </c>
    </row>
    <row r="213" spans="1:31" ht="60">
      <c r="A213" s="68" t="str">
        <f t="shared" si="3"/>
        <v>700070584263M COMPANY</v>
      </c>
      <c r="B213" s="69">
        <v>70007058426</v>
      </c>
      <c r="C213" s="68" t="s">
        <v>632</v>
      </c>
      <c r="D213" s="68">
        <v>3005101000</v>
      </c>
      <c r="E213" s="68">
        <v>20128863</v>
      </c>
      <c r="F213" s="70" t="s">
        <v>626</v>
      </c>
      <c r="G213" s="71">
        <v>46558</v>
      </c>
      <c r="H213" s="70" t="s">
        <v>604</v>
      </c>
      <c r="I213" s="70" t="s">
        <v>35</v>
      </c>
      <c r="J213" s="72">
        <v>1.6286</v>
      </c>
      <c r="K213" s="72" t="s">
        <v>36</v>
      </c>
      <c r="L213" s="73" t="s">
        <v>37</v>
      </c>
      <c r="M213" s="73" t="s">
        <v>621</v>
      </c>
      <c r="N213" s="74">
        <v>2670818</v>
      </c>
      <c r="O213" s="75" t="s">
        <v>599</v>
      </c>
      <c r="P213" s="76" t="s">
        <v>600</v>
      </c>
      <c r="Q213" s="172">
        <v>46230</v>
      </c>
      <c r="R213" s="77">
        <v>46413</v>
      </c>
      <c r="S213" s="176">
        <v>46212</v>
      </c>
      <c r="T213" s="78">
        <v>46217</v>
      </c>
      <c r="U213" s="78">
        <v>46219</v>
      </c>
      <c r="V213" s="79" t="s">
        <v>41</v>
      </c>
      <c r="W213" s="79" t="s">
        <v>32</v>
      </c>
      <c r="X213" s="80" t="s">
        <v>41</v>
      </c>
      <c r="Y213" s="76" t="s">
        <v>32</v>
      </c>
      <c r="Z213" s="68"/>
      <c r="AA213" s="70" t="s">
        <v>43</v>
      </c>
      <c r="AB213" s="107" t="e">
        <f>+VLOOKUP(A213,'[1]VALID RIM NUEVAM'!A$1:O$65536,15,0)</f>
        <v>#N/A</v>
      </c>
      <c r="AC213" s="70" t="s">
        <v>43</v>
      </c>
      <c r="AD213" s="70"/>
      <c r="AE213" s="70" t="s">
        <v>633</v>
      </c>
    </row>
    <row r="214" spans="1:31" ht="45">
      <c r="A214" s="68" t="str">
        <f t="shared" si="3"/>
        <v>700070669323M COMPANY</v>
      </c>
      <c r="B214" s="69">
        <v>70007066932</v>
      </c>
      <c r="C214" s="68" t="s">
        <v>634</v>
      </c>
      <c r="D214" s="68">
        <v>3005101000</v>
      </c>
      <c r="E214" s="68">
        <v>20224299</v>
      </c>
      <c r="F214" s="70" t="s">
        <v>635</v>
      </c>
      <c r="G214" s="93">
        <v>48399</v>
      </c>
      <c r="H214" s="70" t="s">
        <v>604</v>
      </c>
      <c r="I214" s="70" t="s">
        <v>35</v>
      </c>
      <c r="J214" s="72">
        <v>2.8719999999999999</v>
      </c>
      <c r="K214" s="72" t="s">
        <v>36</v>
      </c>
      <c r="L214" s="73" t="s">
        <v>636</v>
      </c>
      <c r="M214" s="73" t="s">
        <v>621</v>
      </c>
      <c r="N214" s="74">
        <v>2670818</v>
      </c>
      <c r="O214" s="75" t="s">
        <v>599</v>
      </c>
      <c r="P214" s="76" t="s">
        <v>600</v>
      </c>
      <c r="Q214" s="172">
        <v>46230</v>
      </c>
      <c r="R214" s="77">
        <v>46413</v>
      </c>
      <c r="S214" s="176">
        <v>46212</v>
      </c>
      <c r="T214" s="78">
        <v>46217</v>
      </c>
      <c r="U214" s="78">
        <v>46219</v>
      </c>
      <c r="V214" s="79" t="s">
        <v>41</v>
      </c>
      <c r="W214" s="79" t="s">
        <v>32</v>
      </c>
      <c r="X214" s="80" t="s">
        <v>41</v>
      </c>
      <c r="Y214" s="76" t="s">
        <v>32</v>
      </c>
      <c r="Z214" s="68"/>
      <c r="AA214" s="70" t="s">
        <v>43</v>
      </c>
      <c r="AB214" s="107" t="e">
        <f>+VLOOKUP(A214,'[1]VALID RIM NUEVAM'!A$1:O$65536,15,0)</f>
        <v>#N/A</v>
      </c>
      <c r="AC214" s="70" t="s">
        <v>43</v>
      </c>
      <c r="AD214" s="70"/>
      <c r="AE214" s="70" t="s">
        <v>637</v>
      </c>
    </row>
    <row r="215" spans="1:31" ht="45">
      <c r="A215" s="68" t="str">
        <f t="shared" si="3"/>
        <v>700070669403M COMPANY</v>
      </c>
      <c r="B215" s="69">
        <v>70007066940</v>
      </c>
      <c r="C215" s="68" t="s">
        <v>638</v>
      </c>
      <c r="D215" s="68">
        <v>3005101000</v>
      </c>
      <c r="E215" s="68">
        <v>20224299</v>
      </c>
      <c r="F215" s="70" t="s">
        <v>635</v>
      </c>
      <c r="G215" s="93">
        <v>48399</v>
      </c>
      <c r="H215" s="70" t="s">
        <v>604</v>
      </c>
      <c r="I215" s="70" t="s">
        <v>35</v>
      </c>
      <c r="J215" s="72">
        <v>0.63649999999999995</v>
      </c>
      <c r="K215" s="72" t="s">
        <v>36</v>
      </c>
      <c r="L215" s="73" t="s">
        <v>636</v>
      </c>
      <c r="M215" s="73" t="s">
        <v>621</v>
      </c>
      <c r="N215" s="74">
        <v>2670818</v>
      </c>
      <c r="O215" s="75" t="s">
        <v>599</v>
      </c>
      <c r="P215" s="76" t="s">
        <v>600</v>
      </c>
      <c r="Q215" s="172">
        <v>46230</v>
      </c>
      <c r="R215" s="77">
        <v>46413</v>
      </c>
      <c r="S215" s="176">
        <v>46212</v>
      </c>
      <c r="T215" s="78">
        <v>46217</v>
      </c>
      <c r="U215" s="78">
        <v>46219</v>
      </c>
      <c r="V215" s="79" t="s">
        <v>41</v>
      </c>
      <c r="W215" s="79" t="s">
        <v>32</v>
      </c>
      <c r="X215" s="80" t="s">
        <v>41</v>
      </c>
      <c r="Y215" s="76" t="s">
        <v>32</v>
      </c>
      <c r="Z215" s="68"/>
      <c r="AA215" s="70" t="s">
        <v>43</v>
      </c>
      <c r="AB215" s="107" t="e">
        <f>+VLOOKUP(A215,'[1]VALID RIM NUEVAM'!A$1:O$65536,15,0)</f>
        <v>#N/A</v>
      </c>
      <c r="AC215" s="70" t="s">
        <v>43</v>
      </c>
      <c r="AD215" s="70"/>
      <c r="AE215" s="70" t="s">
        <v>639</v>
      </c>
    </row>
    <row r="216" spans="1:31" ht="45">
      <c r="A216" s="68" t="str">
        <f t="shared" si="3"/>
        <v>700070671463M COMPANY</v>
      </c>
      <c r="B216" s="69">
        <v>70007067146</v>
      </c>
      <c r="C216" s="68" t="s">
        <v>640</v>
      </c>
      <c r="D216" s="68">
        <v>3005101000</v>
      </c>
      <c r="E216" s="68">
        <v>20225902</v>
      </c>
      <c r="F216" s="70" t="s">
        <v>641</v>
      </c>
      <c r="G216" s="93">
        <v>48309</v>
      </c>
      <c r="H216" s="70" t="s">
        <v>604</v>
      </c>
      <c r="I216" s="70" t="s">
        <v>35</v>
      </c>
      <c r="J216" s="72">
        <v>1.0134000000000001</v>
      </c>
      <c r="K216" s="72" t="s">
        <v>36</v>
      </c>
      <c r="L216" s="73" t="s">
        <v>37</v>
      </c>
      <c r="M216" s="73" t="s">
        <v>621</v>
      </c>
      <c r="N216" s="74">
        <v>2670818</v>
      </c>
      <c r="O216" s="75" t="s">
        <v>599</v>
      </c>
      <c r="P216" s="76" t="s">
        <v>600</v>
      </c>
      <c r="Q216" s="172">
        <v>46230</v>
      </c>
      <c r="R216" s="77">
        <v>46413</v>
      </c>
      <c r="S216" s="176">
        <v>46212</v>
      </c>
      <c r="T216" s="78">
        <v>46217</v>
      </c>
      <c r="U216" s="78">
        <v>46219</v>
      </c>
      <c r="V216" s="79" t="s">
        <v>41</v>
      </c>
      <c r="W216" s="79" t="s">
        <v>32</v>
      </c>
      <c r="X216" s="80" t="s">
        <v>41</v>
      </c>
      <c r="Y216" s="76" t="s">
        <v>32</v>
      </c>
      <c r="Z216" s="68"/>
      <c r="AA216" s="70" t="s">
        <v>43</v>
      </c>
      <c r="AB216" s="107" t="e">
        <f>+VLOOKUP(A216,'[1]VALID RIM NUEVAM'!A$1:O$65536,15,0)</f>
        <v>#N/A</v>
      </c>
      <c r="AC216" s="70" t="s">
        <v>43</v>
      </c>
      <c r="AD216" s="70"/>
      <c r="AE216" s="70" t="s">
        <v>622</v>
      </c>
    </row>
    <row r="217" spans="1:31" ht="45">
      <c r="A217" s="68" t="str">
        <f t="shared" si="3"/>
        <v>700070657363M COMPANY</v>
      </c>
      <c r="B217" s="69">
        <v>70007065736</v>
      </c>
      <c r="C217" s="68" t="s">
        <v>642</v>
      </c>
      <c r="D217" s="68">
        <v>3005101000</v>
      </c>
      <c r="E217" s="68">
        <v>20225902</v>
      </c>
      <c r="F217" s="70" t="s">
        <v>641</v>
      </c>
      <c r="G217" s="93">
        <v>48309</v>
      </c>
      <c r="H217" s="70" t="s">
        <v>604</v>
      </c>
      <c r="I217" s="70" t="s">
        <v>35</v>
      </c>
      <c r="J217" s="72">
        <v>2.5710000000000002</v>
      </c>
      <c r="K217" s="72" t="s">
        <v>36</v>
      </c>
      <c r="L217" s="73" t="s">
        <v>37</v>
      </c>
      <c r="M217" s="73" t="s">
        <v>621</v>
      </c>
      <c r="N217" s="74">
        <v>2670818</v>
      </c>
      <c r="O217" s="75" t="s">
        <v>599</v>
      </c>
      <c r="P217" s="76" t="s">
        <v>600</v>
      </c>
      <c r="Q217" s="172">
        <v>46230</v>
      </c>
      <c r="R217" s="77">
        <v>46413</v>
      </c>
      <c r="S217" s="176">
        <v>46212</v>
      </c>
      <c r="T217" s="78">
        <v>46217</v>
      </c>
      <c r="U217" s="78">
        <v>46219</v>
      </c>
      <c r="V217" s="79" t="s">
        <v>41</v>
      </c>
      <c r="W217" s="79" t="s">
        <v>32</v>
      </c>
      <c r="X217" s="80" t="s">
        <v>41</v>
      </c>
      <c r="Y217" s="76" t="s">
        <v>32</v>
      </c>
      <c r="Z217" s="68"/>
      <c r="AA217" s="70" t="s">
        <v>43</v>
      </c>
      <c r="AB217" s="107" t="e">
        <f>+VLOOKUP(A217,'[1]VALID RIM NUEVAM'!A$1:O$65536,15,0)</f>
        <v>#N/A</v>
      </c>
      <c r="AC217" s="70" t="s">
        <v>43</v>
      </c>
      <c r="AD217" s="70"/>
      <c r="AE217" s="70" t="s">
        <v>622</v>
      </c>
    </row>
    <row r="218" spans="1:31" ht="75">
      <c r="A218" s="68" t="str">
        <f t="shared" si="3"/>
        <v>700070717833M COMPANY</v>
      </c>
      <c r="B218" s="69">
        <v>70007071783</v>
      </c>
      <c r="C218" s="68" t="s">
        <v>643</v>
      </c>
      <c r="D218" s="68">
        <v>3005101000</v>
      </c>
      <c r="E218" s="68">
        <v>20246996</v>
      </c>
      <c r="F218" s="70" t="s">
        <v>644</v>
      </c>
      <c r="G218" s="71">
        <v>48669</v>
      </c>
      <c r="H218" s="70" t="s">
        <v>604</v>
      </c>
      <c r="I218" s="70" t="s">
        <v>35</v>
      </c>
      <c r="J218" s="72">
        <v>1.9472</v>
      </c>
      <c r="K218" s="72" t="s">
        <v>36</v>
      </c>
      <c r="L218" s="73" t="s">
        <v>37</v>
      </c>
      <c r="M218" s="73" t="s">
        <v>621</v>
      </c>
      <c r="N218" s="74">
        <v>2670818</v>
      </c>
      <c r="O218" s="75" t="s">
        <v>599</v>
      </c>
      <c r="P218" s="76" t="s">
        <v>600</v>
      </c>
      <c r="Q218" s="172">
        <v>46230</v>
      </c>
      <c r="R218" s="77">
        <v>46413</v>
      </c>
      <c r="S218" s="176">
        <v>46212</v>
      </c>
      <c r="T218" s="78">
        <v>46217</v>
      </c>
      <c r="U218" s="78">
        <v>46219</v>
      </c>
      <c r="V218" s="79" t="s">
        <v>41</v>
      </c>
      <c r="W218" s="79" t="s">
        <v>32</v>
      </c>
      <c r="X218" s="80" t="s">
        <v>41</v>
      </c>
      <c r="Y218" s="76" t="s">
        <v>32</v>
      </c>
      <c r="Z218" s="68"/>
      <c r="AA218" s="70" t="s">
        <v>43</v>
      </c>
      <c r="AB218" s="107" t="e">
        <f>+VLOOKUP(A218,'[1]VALID RIM NUEVAM'!A$1:O$65536,15,0)</f>
        <v>#N/A</v>
      </c>
      <c r="AC218" s="70" t="s">
        <v>43</v>
      </c>
      <c r="AD218" s="70"/>
      <c r="AE218" s="70" t="s">
        <v>645</v>
      </c>
    </row>
    <row r="219" spans="1:31" ht="75">
      <c r="A219" s="68" t="str">
        <f t="shared" si="3"/>
        <v>700070727653M COMPANY</v>
      </c>
      <c r="B219" s="69">
        <v>70007072765</v>
      </c>
      <c r="C219" s="68" t="s">
        <v>646</v>
      </c>
      <c r="D219" s="68">
        <v>3005101000</v>
      </c>
      <c r="E219" s="68">
        <v>20246996</v>
      </c>
      <c r="F219" s="70" t="s">
        <v>644</v>
      </c>
      <c r="G219" s="71">
        <v>48669</v>
      </c>
      <c r="H219" s="70" t="s">
        <v>604</v>
      </c>
      <c r="I219" s="70" t="s">
        <v>35</v>
      </c>
      <c r="J219" s="72">
        <v>1.3080000000000001</v>
      </c>
      <c r="K219" s="72" t="s">
        <v>36</v>
      </c>
      <c r="L219" s="73" t="s">
        <v>37</v>
      </c>
      <c r="M219" s="73" t="s">
        <v>46</v>
      </c>
      <c r="N219" s="74">
        <v>2670818</v>
      </c>
      <c r="O219" s="75" t="s">
        <v>599</v>
      </c>
      <c r="P219" s="76" t="s">
        <v>600</v>
      </c>
      <c r="Q219" s="172">
        <v>46230</v>
      </c>
      <c r="R219" s="77">
        <v>46413</v>
      </c>
      <c r="S219" s="176">
        <v>46212</v>
      </c>
      <c r="T219" s="78">
        <v>46217</v>
      </c>
      <c r="U219" s="78">
        <v>46219</v>
      </c>
      <c r="V219" s="79" t="s">
        <v>41</v>
      </c>
      <c r="W219" s="79" t="s">
        <v>32</v>
      </c>
      <c r="X219" s="80" t="s">
        <v>41</v>
      </c>
      <c r="Y219" s="76" t="s">
        <v>32</v>
      </c>
      <c r="Z219" s="68"/>
      <c r="AA219" s="70" t="s">
        <v>43</v>
      </c>
      <c r="AB219" s="107" t="e">
        <f>+VLOOKUP(A219,'[1]VALID RIM NUEVAM'!A$1:O$65536,15,0)</f>
        <v>#N/A</v>
      </c>
      <c r="AC219" s="70" t="s">
        <v>43</v>
      </c>
      <c r="AD219" s="70"/>
      <c r="AE219" s="70" t="s">
        <v>647</v>
      </c>
    </row>
    <row r="220" spans="1:31" ht="75">
      <c r="A220" s="68" t="str">
        <f t="shared" si="3"/>
        <v>700070717753M COMPANY</v>
      </c>
      <c r="B220" s="69">
        <v>70007071775</v>
      </c>
      <c r="C220" s="68" t="s">
        <v>648</v>
      </c>
      <c r="D220" s="68">
        <v>3005101000</v>
      </c>
      <c r="E220" s="68">
        <v>20243377</v>
      </c>
      <c r="F220" s="70" t="s">
        <v>649</v>
      </c>
      <c r="G220" s="71">
        <v>48626</v>
      </c>
      <c r="H220" s="70" t="s">
        <v>604</v>
      </c>
      <c r="I220" s="70" t="s">
        <v>35</v>
      </c>
      <c r="J220" s="72">
        <v>2.7</v>
      </c>
      <c r="K220" s="72" t="s">
        <v>36</v>
      </c>
      <c r="L220" s="73" t="s">
        <v>37</v>
      </c>
      <c r="M220" s="73" t="s">
        <v>621</v>
      </c>
      <c r="N220" s="74">
        <v>2670818</v>
      </c>
      <c r="O220" s="75" t="s">
        <v>599</v>
      </c>
      <c r="P220" s="76" t="s">
        <v>600</v>
      </c>
      <c r="Q220" s="172">
        <v>46230</v>
      </c>
      <c r="R220" s="77">
        <v>46413</v>
      </c>
      <c r="S220" s="176">
        <v>46212</v>
      </c>
      <c r="T220" s="78">
        <v>46217</v>
      </c>
      <c r="U220" s="78">
        <v>46219</v>
      </c>
      <c r="V220" s="79" t="s">
        <v>41</v>
      </c>
      <c r="W220" s="79" t="s">
        <v>32</v>
      </c>
      <c r="X220" s="80" t="s">
        <v>41</v>
      </c>
      <c r="Y220" s="76" t="s">
        <v>32</v>
      </c>
      <c r="Z220" s="68"/>
      <c r="AA220" s="70" t="s">
        <v>43</v>
      </c>
      <c r="AB220" s="107" t="e">
        <f>+VLOOKUP(A220,'[1]VALID RIM NUEVAM'!A$1:O$65536,15,0)</f>
        <v>#N/A</v>
      </c>
      <c r="AC220" s="70" t="s">
        <v>43</v>
      </c>
      <c r="AD220" s="70"/>
      <c r="AE220" s="70" t="s">
        <v>627</v>
      </c>
    </row>
    <row r="221" spans="1:31" ht="60">
      <c r="A221" s="68" t="str">
        <f t="shared" si="3"/>
        <v>700070601333M COMPANY</v>
      </c>
      <c r="B221" s="69">
        <v>70007060133</v>
      </c>
      <c r="C221" s="68" t="s">
        <v>650</v>
      </c>
      <c r="D221" s="68">
        <v>3005101000</v>
      </c>
      <c r="E221" s="68">
        <v>20142017</v>
      </c>
      <c r="F221" s="70" t="s">
        <v>620</v>
      </c>
      <c r="G221" s="71">
        <v>46825</v>
      </c>
      <c r="H221" s="70" t="s">
        <v>604</v>
      </c>
      <c r="I221" s="70" t="s">
        <v>35</v>
      </c>
      <c r="J221" s="72">
        <v>2.27</v>
      </c>
      <c r="K221" s="72" t="s">
        <v>36</v>
      </c>
      <c r="L221" s="73" t="s">
        <v>37</v>
      </c>
      <c r="M221" s="73" t="s">
        <v>621</v>
      </c>
      <c r="N221" s="74">
        <v>2670818</v>
      </c>
      <c r="O221" s="75" t="s">
        <v>599</v>
      </c>
      <c r="P221" s="76" t="s">
        <v>600</v>
      </c>
      <c r="Q221" s="172">
        <v>46230</v>
      </c>
      <c r="R221" s="77">
        <v>46413</v>
      </c>
      <c r="S221" s="176">
        <v>46212</v>
      </c>
      <c r="T221" s="78">
        <v>46217</v>
      </c>
      <c r="U221" s="78">
        <v>46219</v>
      </c>
      <c r="V221" s="79" t="s">
        <v>41</v>
      </c>
      <c r="W221" s="79" t="s">
        <v>32</v>
      </c>
      <c r="X221" s="80" t="s">
        <v>41</v>
      </c>
      <c r="Y221" s="76" t="s">
        <v>32</v>
      </c>
      <c r="Z221" s="68"/>
      <c r="AA221" s="70" t="s">
        <v>43</v>
      </c>
      <c r="AB221" s="107" t="e">
        <f>+VLOOKUP(A221,'[1]VALID RIM NUEVAM'!A$1:O$65536,15,0)</f>
        <v>#N/A</v>
      </c>
      <c r="AC221" s="70" t="s">
        <v>43</v>
      </c>
      <c r="AD221" s="70"/>
      <c r="AE221" s="70" t="e">
        <v>#N/A</v>
      </c>
    </row>
    <row r="222" spans="1:31" ht="90">
      <c r="A222" s="68" t="str">
        <f t="shared" si="3"/>
        <v>700070594993M COMPANY</v>
      </c>
      <c r="B222" s="69">
        <v>70007059499</v>
      </c>
      <c r="C222" s="68" t="s">
        <v>651</v>
      </c>
      <c r="D222" s="68">
        <v>3005101000</v>
      </c>
      <c r="E222" s="68">
        <v>20142017</v>
      </c>
      <c r="F222" s="70" t="s">
        <v>620</v>
      </c>
      <c r="G222" s="71">
        <v>46825</v>
      </c>
      <c r="H222" s="70" t="s">
        <v>604</v>
      </c>
      <c r="I222" s="70" t="s">
        <v>35</v>
      </c>
      <c r="J222" s="72">
        <v>0.85</v>
      </c>
      <c r="K222" s="72" t="s">
        <v>36</v>
      </c>
      <c r="L222" s="73" t="s">
        <v>37</v>
      </c>
      <c r="M222" s="73" t="s">
        <v>621</v>
      </c>
      <c r="N222" s="74">
        <v>2670818</v>
      </c>
      <c r="O222" s="75" t="s">
        <v>599</v>
      </c>
      <c r="P222" s="76" t="s">
        <v>600</v>
      </c>
      <c r="Q222" s="172">
        <v>46230</v>
      </c>
      <c r="R222" s="77">
        <v>46413</v>
      </c>
      <c r="S222" s="176">
        <v>46212</v>
      </c>
      <c r="T222" s="78">
        <v>46217</v>
      </c>
      <c r="U222" s="78">
        <v>46219</v>
      </c>
      <c r="V222" s="79" t="s">
        <v>41</v>
      </c>
      <c r="W222" s="79" t="s">
        <v>32</v>
      </c>
      <c r="X222" s="80" t="s">
        <v>41</v>
      </c>
      <c r="Y222" s="76" t="s">
        <v>32</v>
      </c>
      <c r="Z222" s="68"/>
      <c r="AA222" s="70" t="s">
        <v>43</v>
      </c>
      <c r="AB222" s="107" t="e">
        <f>+VLOOKUP(A222,'[1]VALID RIM NUEVAM'!A$1:O$65536,15,0)</f>
        <v>#N/A</v>
      </c>
      <c r="AC222" s="70" t="s">
        <v>43</v>
      </c>
      <c r="AD222" s="70"/>
      <c r="AE222" s="70" t="s">
        <v>652</v>
      </c>
    </row>
    <row r="223" spans="1:31" ht="60">
      <c r="A223" s="68" t="str">
        <f t="shared" si="3"/>
        <v>700070205903M COMPANY</v>
      </c>
      <c r="B223" s="69">
        <v>70007020590</v>
      </c>
      <c r="C223" s="68" t="s">
        <v>653</v>
      </c>
      <c r="D223" s="68">
        <v>3005101000</v>
      </c>
      <c r="E223" s="68">
        <v>20158672</v>
      </c>
      <c r="F223" s="70" t="s">
        <v>654</v>
      </c>
      <c r="G223" s="71">
        <v>47177</v>
      </c>
      <c r="H223" s="70" t="s">
        <v>604</v>
      </c>
      <c r="I223" s="70" t="s">
        <v>35</v>
      </c>
      <c r="J223" s="72">
        <v>0.80810000000000004</v>
      </c>
      <c r="K223" s="72" t="s">
        <v>36</v>
      </c>
      <c r="L223" s="73" t="s">
        <v>37</v>
      </c>
      <c r="M223" s="73" t="s">
        <v>96</v>
      </c>
      <c r="N223" s="74">
        <v>2670818</v>
      </c>
      <c r="O223" s="75" t="s">
        <v>599</v>
      </c>
      <c r="P223" s="76" t="s">
        <v>600</v>
      </c>
      <c r="Q223" s="172">
        <v>46230</v>
      </c>
      <c r="R223" s="77">
        <v>46413</v>
      </c>
      <c r="S223" s="176">
        <v>46212</v>
      </c>
      <c r="T223" s="78">
        <v>46217</v>
      </c>
      <c r="U223" s="78">
        <v>46219</v>
      </c>
      <c r="V223" s="79" t="s">
        <v>41</v>
      </c>
      <c r="W223" s="79" t="s">
        <v>32</v>
      </c>
      <c r="X223" s="80" t="s">
        <v>41</v>
      </c>
      <c r="Y223" s="76" t="s">
        <v>32</v>
      </c>
      <c r="Z223" s="68"/>
      <c r="AA223" s="70" t="s">
        <v>43</v>
      </c>
      <c r="AB223" s="107" t="e">
        <f>+VLOOKUP(A223,'[1]VALID RIM NUEVAM'!A$1:O$65536,15,0)</f>
        <v>#N/A</v>
      </c>
      <c r="AC223" s="70" t="s">
        <v>43</v>
      </c>
      <c r="AD223" s="70"/>
      <c r="AE223" s="70" t="s">
        <v>655</v>
      </c>
    </row>
    <row r="224" spans="1:31" ht="30">
      <c r="A224" s="68" t="str">
        <f t="shared" si="3"/>
        <v>439101654063M COMPANY</v>
      </c>
      <c r="B224" s="69">
        <v>43910165406</v>
      </c>
      <c r="C224" s="68" t="s">
        <v>656</v>
      </c>
      <c r="D224" s="68">
        <v>3005101000</v>
      </c>
      <c r="E224" s="68">
        <v>20131795</v>
      </c>
      <c r="F224" s="70" t="s">
        <v>657</v>
      </c>
      <c r="G224" s="71">
        <v>46615</v>
      </c>
      <c r="H224" s="70" t="s">
        <v>604</v>
      </c>
      <c r="I224" s="70" t="s">
        <v>35</v>
      </c>
      <c r="J224" s="72">
        <v>0.03</v>
      </c>
      <c r="K224" s="72" t="s">
        <v>36</v>
      </c>
      <c r="L224" s="73" t="s">
        <v>37</v>
      </c>
      <c r="M224" s="73" t="s">
        <v>96</v>
      </c>
      <c r="N224" s="74">
        <v>2670818</v>
      </c>
      <c r="O224" s="75" t="s">
        <v>599</v>
      </c>
      <c r="P224" s="76" t="s">
        <v>600</v>
      </c>
      <c r="Q224" s="172">
        <v>46230</v>
      </c>
      <c r="R224" s="77">
        <v>46413</v>
      </c>
      <c r="S224" s="176">
        <v>46212</v>
      </c>
      <c r="T224" s="78">
        <v>46217</v>
      </c>
      <c r="U224" s="78">
        <v>46219</v>
      </c>
      <c r="V224" s="79" t="s">
        <v>41</v>
      </c>
      <c r="W224" s="79" t="s">
        <v>32</v>
      </c>
      <c r="X224" s="80" t="s">
        <v>41</v>
      </c>
      <c r="Y224" s="76" t="s">
        <v>32</v>
      </c>
      <c r="Z224" s="68"/>
      <c r="AA224" s="70" t="s">
        <v>43</v>
      </c>
      <c r="AB224" s="107" t="e">
        <f>+VLOOKUP(A224,'[1]VALID RIM NUEVAM'!A$1:O$65536,15,0)</f>
        <v>#N/A</v>
      </c>
      <c r="AC224" s="70" t="s">
        <v>43</v>
      </c>
      <c r="AD224" s="70"/>
      <c r="AE224" s="70" t="s">
        <v>658</v>
      </c>
    </row>
    <row r="225" spans="1:31" ht="90">
      <c r="A225" s="68" t="str">
        <f t="shared" si="3"/>
        <v>440059325023M COMPANY</v>
      </c>
      <c r="B225" s="69">
        <v>44005932502</v>
      </c>
      <c r="C225" s="68" t="s">
        <v>659</v>
      </c>
      <c r="D225" s="68">
        <v>3005101000</v>
      </c>
      <c r="E225" s="68">
        <v>20142017</v>
      </c>
      <c r="F225" s="70" t="s">
        <v>620</v>
      </c>
      <c r="G225" s="71">
        <v>46825</v>
      </c>
      <c r="H225" s="70" t="s">
        <v>604</v>
      </c>
      <c r="I225" s="70" t="s">
        <v>35</v>
      </c>
      <c r="J225" s="72">
        <v>0.03</v>
      </c>
      <c r="K225" s="72" t="s">
        <v>36</v>
      </c>
      <c r="L225" s="73" t="s">
        <v>37</v>
      </c>
      <c r="M225" s="73" t="s">
        <v>621</v>
      </c>
      <c r="N225" s="74">
        <v>2670818</v>
      </c>
      <c r="O225" s="75" t="s">
        <v>599</v>
      </c>
      <c r="P225" s="76" t="s">
        <v>600</v>
      </c>
      <c r="Q225" s="172">
        <v>46230</v>
      </c>
      <c r="R225" s="77">
        <v>46413</v>
      </c>
      <c r="S225" s="176">
        <v>46212</v>
      </c>
      <c r="T225" s="78">
        <v>46217</v>
      </c>
      <c r="U225" s="78">
        <v>46219</v>
      </c>
      <c r="V225" s="79" t="s">
        <v>41</v>
      </c>
      <c r="W225" s="79" t="s">
        <v>32</v>
      </c>
      <c r="X225" s="80" t="s">
        <v>41</v>
      </c>
      <c r="Y225" s="76" t="s">
        <v>32</v>
      </c>
      <c r="Z225" s="68"/>
      <c r="AA225" s="70" t="s">
        <v>43</v>
      </c>
      <c r="AB225" s="107" t="e">
        <f>+VLOOKUP(A225,'[1]VALID RIM NUEVAM'!A$1:O$65536,15,0)</f>
        <v>#N/A</v>
      </c>
      <c r="AC225" s="70" t="s">
        <v>43</v>
      </c>
      <c r="AD225" s="70"/>
      <c r="AE225" s="70" t="s">
        <v>660</v>
      </c>
    </row>
    <row r="226" spans="1:31" ht="30">
      <c r="A226" s="108" t="str">
        <f t="shared" si="3"/>
        <v>700070825583M COMPANY</v>
      </c>
      <c r="B226" s="109">
        <v>70007082558</v>
      </c>
      <c r="C226" s="68" t="s">
        <v>661</v>
      </c>
      <c r="D226" s="68">
        <v>3005909000</v>
      </c>
      <c r="E226" s="68">
        <v>20240915</v>
      </c>
      <c r="F226" s="70" t="s">
        <v>597</v>
      </c>
      <c r="G226" s="93">
        <v>48346</v>
      </c>
      <c r="H226" s="70" t="s">
        <v>604</v>
      </c>
      <c r="I226" s="70" t="s">
        <v>35</v>
      </c>
      <c r="J226" s="72">
        <v>0.69030000000000002</v>
      </c>
      <c r="K226" s="72" t="s">
        <v>36</v>
      </c>
      <c r="L226" s="73" t="s">
        <v>37</v>
      </c>
      <c r="M226" s="73" t="s">
        <v>96</v>
      </c>
      <c r="N226" s="74">
        <v>2670818</v>
      </c>
      <c r="O226" s="75" t="s">
        <v>599</v>
      </c>
      <c r="P226" s="76" t="s">
        <v>600</v>
      </c>
      <c r="Q226" s="172">
        <v>46230</v>
      </c>
      <c r="R226" s="77">
        <v>46413</v>
      </c>
      <c r="S226" s="176">
        <v>46212</v>
      </c>
      <c r="T226" s="78">
        <v>46217</v>
      </c>
      <c r="U226" s="78">
        <v>46219</v>
      </c>
      <c r="V226" s="79" t="s">
        <v>41</v>
      </c>
      <c r="W226" s="79" t="s">
        <v>32</v>
      </c>
      <c r="X226" s="80" t="s">
        <v>41</v>
      </c>
      <c r="Y226" s="76" t="s">
        <v>32</v>
      </c>
      <c r="Z226" s="68"/>
      <c r="AA226" s="70" t="s">
        <v>43</v>
      </c>
      <c r="AB226" s="107" t="e">
        <f>+VLOOKUP(A226,'[1]VALID RIM NUEVAM'!A$1:O$65536,15,0)</f>
        <v>#N/A</v>
      </c>
      <c r="AC226" s="70" t="s">
        <v>43</v>
      </c>
      <c r="AD226" s="70"/>
      <c r="AE226" s="70" t="s">
        <v>662</v>
      </c>
    </row>
    <row r="227" spans="1:31" ht="60">
      <c r="A227" s="68" t="str">
        <f t="shared" si="3"/>
        <v>439101654303M COMPANY</v>
      </c>
      <c r="B227" s="69">
        <v>43910165430</v>
      </c>
      <c r="C227" s="68" t="s">
        <v>75</v>
      </c>
      <c r="D227" s="68">
        <v>5603930000</v>
      </c>
      <c r="E227" s="68">
        <v>20113323</v>
      </c>
      <c r="F227" s="70" t="s">
        <v>76</v>
      </c>
      <c r="G227" s="71">
        <v>46364</v>
      </c>
      <c r="H227" s="70" t="s">
        <v>604</v>
      </c>
      <c r="I227" s="70" t="s">
        <v>35</v>
      </c>
      <c r="J227" s="72">
        <v>0.77614271999999995</v>
      </c>
      <c r="K227" s="72" t="s">
        <v>36</v>
      </c>
      <c r="L227" s="73" t="s">
        <v>37</v>
      </c>
      <c r="M227" s="73" t="s">
        <v>77</v>
      </c>
      <c r="N227" s="74">
        <v>2670818</v>
      </c>
      <c r="O227" s="75" t="s">
        <v>599</v>
      </c>
      <c r="P227" s="76" t="s">
        <v>600</v>
      </c>
      <c r="Q227" s="172">
        <v>46230</v>
      </c>
      <c r="R227" s="77">
        <v>46413</v>
      </c>
      <c r="S227" s="176">
        <v>46212</v>
      </c>
      <c r="T227" s="78">
        <v>46217</v>
      </c>
      <c r="U227" s="78">
        <v>46219</v>
      </c>
      <c r="V227" s="79" t="s">
        <v>41</v>
      </c>
      <c r="W227" s="79" t="s">
        <v>32</v>
      </c>
      <c r="X227" s="80" t="s">
        <v>41</v>
      </c>
      <c r="Y227" s="76" t="s">
        <v>32</v>
      </c>
      <c r="Z227" s="68"/>
      <c r="AA227" s="70" t="s">
        <v>43</v>
      </c>
      <c r="AB227" s="107" t="e">
        <f>+VLOOKUP(A227,'[1]VALID RIM NUEVAM'!A$1:O$65536,15,0)</f>
        <v>#N/A</v>
      </c>
      <c r="AC227" s="70" t="s">
        <v>41</v>
      </c>
      <c r="AD227" s="70"/>
      <c r="AE227" s="70"/>
    </row>
    <row r="228" spans="1:31" ht="45">
      <c r="A228" s="6" t="str">
        <f t="shared" si="3"/>
        <v>XA009224560ANHUI CHARDON ELECTRIC LIMITED</v>
      </c>
      <c r="B228" s="7" t="s">
        <v>663</v>
      </c>
      <c r="C228" s="6" t="s">
        <v>664</v>
      </c>
      <c r="D228" s="6">
        <v>8535909000</v>
      </c>
      <c r="E228" s="6" t="s">
        <v>32</v>
      </c>
      <c r="F228" s="8">
        <v>2538</v>
      </c>
      <c r="G228" s="9">
        <v>47877</v>
      </c>
      <c r="H228" s="8" t="s">
        <v>141</v>
      </c>
      <c r="I228" s="8" t="s">
        <v>240</v>
      </c>
      <c r="J228" s="10">
        <v>26.36</v>
      </c>
      <c r="K228" s="10" t="s">
        <v>36</v>
      </c>
      <c r="L228" s="11" t="s">
        <v>305</v>
      </c>
      <c r="M228" s="11" t="s">
        <v>38</v>
      </c>
      <c r="N228" s="12">
        <v>2672111</v>
      </c>
      <c r="O228" s="13" t="s">
        <v>665</v>
      </c>
      <c r="P228" s="14" t="s">
        <v>666</v>
      </c>
      <c r="Q228" s="172">
        <v>46231</v>
      </c>
      <c r="R228" s="15">
        <v>46413</v>
      </c>
      <c r="S228" s="176">
        <v>46217</v>
      </c>
      <c r="T228" s="16">
        <v>46219</v>
      </c>
      <c r="U228" s="16">
        <v>46220</v>
      </c>
      <c r="V228" s="17" t="s">
        <v>41</v>
      </c>
      <c r="W228" s="17" t="s">
        <v>32</v>
      </c>
      <c r="X228" s="18" t="s">
        <v>41</v>
      </c>
      <c r="Y228" s="14" t="s">
        <v>32</v>
      </c>
      <c r="Z228" s="6" t="s">
        <v>243</v>
      </c>
      <c r="AA228" s="8" t="s">
        <v>43</v>
      </c>
      <c r="AB228" s="11">
        <f>+VLOOKUP(A228,'[1]VALID RIM NUEVAM'!A$1:N$65536,14,0)</f>
        <v>2688402</v>
      </c>
      <c r="AC228" s="8" t="s">
        <v>43</v>
      </c>
      <c r="AD228" s="8"/>
      <c r="AE228" s="8"/>
    </row>
    <row r="229" spans="1:31" ht="180">
      <c r="A229" s="68" t="str">
        <f t="shared" si="3"/>
        <v>700706123643M COMPANY</v>
      </c>
      <c r="B229" s="110">
        <v>70070612364</v>
      </c>
      <c r="C229" s="68" t="s">
        <v>347</v>
      </c>
      <c r="D229" s="68">
        <v>6307903010</v>
      </c>
      <c r="E229" s="68">
        <v>20144736</v>
      </c>
      <c r="F229" s="70" t="s">
        <v>348</v>
      </c>
      <c r="G229" s="71">
        <v>46883</v>
      </c>
      <c r="H229" s="70" t="s">
        <v>604</v>
      </c>
      <c r="I229" s="70" t="s">
        <v>35</v>
      </c>
      <c r="J229" s="72">
        <v>94.269499999999994</v>
      </c>
      <c r="K229" s="72" t="s">
        <v>36</v>
      </c>
      <c r="L229" s="73" t="s">
        <v>349</v>
      </c>
      <c r="M229" s="73" t="s">
        <v>38</v>
      </c>
      <c r="N229" s="74">
        <v>2670818</v>
      </c>
      <c r="O229" s="75" t="s">
        <v>599</v>
      </c>
      <c r="P229" s="76" t="s">
        <v>600</v>
      </c>
      <c r="Q229" s="172">
        <v>46230</v>
      </c>
      <c r="R229" s="77">
        <v>46413</v>
      </c>
      <c r="S229" s="176">
        <v>46212</v>
      </c>
      <c r="T229" s="78">
        <v>46217</v>
      </c>
      <c r="U229" s="78">
        <v>46219</v>
      </c>
      <c r="V229" s="79" t="s">
        <v>41</v>
      </c>
      <c r="W229" s="79" t="s">
        <v>32</v>
      </c>
      <c r="X229" s="80" t="s">
        <v>41</v>
      </c>
      <c r="Y229" s="76" t="s">
        <v>32</v>
      </c>
      <c r="Z229" s="68"/>
      <c r="AA229" s="70" t="s">
        <v>43</v>
      </c>
      <c r="AB229" s="107" t="e">
        <f>+VLOOKUP(A229,'[1]VALID RIM NUEVAM'!A$1:O$65536,15,0)</f>
        <v>#N/A</v>
      </c>
      <c r="AC229" s="70" t="s">
        <v>43</v>
      </c>
      <c r="AD229" s="70"/>
      <c r="AE229" s="70"/>
    </row>
    <row r="230" spans="1:31" ht="30">
      <c r="A230" s="68" t="str">
        <f t="shared" si="3"/>
        <v>700706143943M COMPANY</v>
      </c>
      <c r="B230" s="69">
        <v>70070614394</v>
      </c>
      <c r="C230" s="68" t="s">
        <v>667</v>
      </c>
      <c r="D230" s="68">
        <v>6307903010</v>
      </c>
      <c r="E230" s="68" t="s">
        <v>32</v>
      </c>
      <c r="F230" s="70">
        <v>2010021664</v>
      </c>
      <c r="G230" s="71" t="s">
        <v>32</v>
      </c>
      <c r="H230" s="70" t="s">
        <v>45</v>
      </c>
      <c r="I230" s="70" t="s">
        <v>35</v>
      </c>
      <c r="J230" s="72" t="s">
        <v>668</v>
      </c>
      <c r="K230" s="72" t="s">
        <v>36</v>
      </c>
      <c r="L230" s="73" t="s">
        <v>37</v>
      </c>
      <c r="M230" s="73" t="s">
        <v>86</v>
      </c>
      <c r="N230" s="74">
        <v>2670812</v>
      </c>
      <c r="O230" s="75" t="s">
        <v>669</v>
      </c>
      <c r="P230" s="76" t="s">
        <v>670</v>
      </c>
      <c r="Q230" s="172">
        <v>46230</v>
      </c>
      <c r="R230" s="77">
        <v>46414</v>
      </c>
      <c r="S230" s="176">
        <v>46212</v>
      </c>
      <c r="T230" s="78">
        <v>46218</v>
      </c>
      <c r="U230" s="78">
        <v>46218</v>
      </c>
      <c r="V230" s="79" t="s">
        <v>41</v>
      </c>
      <c r="W230" s="79" t="s">
        <v>32</v>
      </c>
      <c r="X230" s="80" t="s">
        <v>41</v>
      </c>
      <c r="Y230" s="76" t="s">
        <v>32</v>
      </c>
      <c r="Z230" s="68"/>
      <c r="AA230" s="70" t="s">
        <v>43</v>
      </c>
      <c r="AB230" s="107" t="e">
        <f>+VLOOKUP(A230,'[1]VALID RIM NUEVAM'!A$1:O$65536,15,0)</f>
        <v>#N/A</v>
      </c>
      <c r="AC230" s="70"/>
      <c r="AD230" s="70"/>
      <c r="AE230" s="70"/>
    </row>
    <row r="231" spans="1:31" ht="30">
      <c r="A231" s="68" t="str">
        <f t="shared" si="3"/>
        <v>XI0038328413M COMPANY</v>
      </c>
      <c r="B231" s="69" t="s">
        <v>671</v>
      </c>
      <c r="C231" s="68">
        <v>9502</v>
      </c>
      <c r="D231" s="68">
        <v>6307903010</v>
      </c>
      <c r="E231" s="68" t="s">
        <v>32</v>
      </c>
      <c r="F231" s="70">
        <v>2021002850</v>
      </c>
      <c r="G231" s="71" t="s">
        <v>32</v>
      </c>
      <c r="H231" s="70" t="s">
        <v>45</v>
      </c>
      <c r="I231" s="70" t="s">
        <v>35</v>
      </c>
      <c r="J231" s="72" t="s">
        <v>672</v>
      </c>
      <c r="K231" s="72" t="s">
        <v>36</v>
      </c>
      <c r="L231" s="73" t="s">
        <v>37</v>
      </c>
      <c r="M231" s="73" t="s">
        <v>86</v>
      </c>
      <c r="N231" s="74">
        <v>2670812</v>
      </c>
      <c r="O231" s="75" t="s">
        <v>669</v>
      </c>
      <c r="P231" s="76" t="s">
        <v>670</v>
      </c>
      <c r="Q231" s="172">
        <v>46230</v>
      </c>
      <c r="R231" s="77">
        <v>46414</v>
      </c>
      <c r="S231" s="176">
        <v>46212</v>
      </c>
      <c r="T231" s="78">
        <v>46218</v>
      </c>
      <c r="U231" s="78">
        <v>46218</v>
      </c>
      <c r="V231" s="79" t="s">
        <v>41</v>
      </c>
      <c r="W231" s="79" t="s">
        <v>32</v>
      </c>
      <c r="X231" s="80" t="s">
        <v>41</v>
      </c>
      <c r="Y231" s="76" t="s">
        <v>32</v>
      </c>
      <c r="Z231" s="68"/>
      <c r="AA231" s="70" t="s">
        <v>43</v>
      </c>
      <c r="AB231" s="107" t="e">
        <f>+VLOOKUP(A231,'[1]VALID RIM NUEVAM'!A$1:O$65536,15,0)</f>
        <v>#N/A</v>
      </c>
      <c r="AC231" s="70"/>
      <c r="AD231" s="70"/>
      <c r="AE231" s="70"/>
    </row>
    <row r="232" spans="1:31" ht="30">
      <c r="A232" s="68" t="str">
        <f t="shared" si="3"/>
        <v>XH0038102943M COMPANY</v>
      </c>
      <c r="B232" s="69" t="s">
        <v>673</v>
      </c>
      <c r="C232" s="68">
        <v>9010</v>
      </c>
      <c r="D232" s="68">
        <v>6307903010</v>
      </c>
      <c r="E232" s="68" t="s">
        <v>32</v>
      </c>
      <c r="F232" s="70">
        <v>2021028760</v>
      </c>
      <c r="G232" s="71" t="s">
        <v>32</v>
      </c>
      <c r="H232" s="70" t="s">
        <v>45</v>
      </c>
      <c r="I232" s="70" t="s">
        <v>35</v>
      </c>
      <c r="J232" s="72" t="s">
        <v>674</v>
      </c>
      <c r="K232" s="72" t="s">
        <v>36</v>
      </c>
      <c r="L232" s="73" t="s">
        <v>37</v>
      </c>
      <c r="M232" s="73" t="s">
        <v>86</v>
      </c>
      <c r="N232" s="74">
        <v>2670812</v>
      </c>
      <c r="O232" s="75" t="s">
        <v>669</v>
      </c>
      <c r="P232" s="76" t="s">
        <v>670</v>
      </c>
      <c r="Q232" s="172">
        <v>46230</v>
      </c>
      <c r="R232" s="77">
        <v>46414</v>
      </c>
      <c r="S232" s="176">
        <v>46212</v>
      </c>
      <c r="T232" s="78">
        <v>46218</v>
      </c>
      <c r="U232" s="78">
        <v>46218</v>
      </c>
      <c r="V232" s="79" t="s">
        <v>41</v>
      </c>
      <c r="W232" s="79" t="s">
        <v>32</v>
      </c>
      <c r="X232" s="80" t="s">
        <v>41</v>
      </c>
      <c r="Y232" s="76" t="s">
        <v>32</v>
      </c>
      <c r="Z232" s="68"/>
      <c r="AA232" s="70" t="s">
        <v>43</v>
      </c>
      <c r="AB232" s="107" t="e">
        <f>+VLOOKUP(A232,'[1]VALID RIM NUEVAM'!A$1:O$65536,15,0)</f>
        <v>#N/A</v>
      </c>
      <c r="AC232" s="70"/>
      <c r="AD232" s="70"/>
      <c r="AE232" s="70"/>
    </row>
    <row r="233" spans="1:31" ht="30">
      <c r="A233" s="68" t="str">
        <f t="shared" si="3"/>
        <v>700707995343M COMPANY</v>
      </c>
      <c r="B233" s="69">
        <v>70070799534</v>
      </c>
      <c r="C233" s="68">
        <v>8214</v>
      </c>
      <c r="D233" s="68">
        <v>6307903010</v>
      </c>
      <c r="E233" s="68" t="s">
        <v>32</v>
      </c>
      <c r="F233" s="70">
        <v>2011019617</v>
      </c>
      <c r="G233" s="71" t="s">
        <v>32</v>
      </c>
      <c r="H233" s="70" t="s">
        <v>45</v>
      </c>
      <c r="I233" s="70" t="s">
        <v>35</v>
      </c>
      <c r="J233" s="72" t="s">
        <v>675</v>
      </c>
      <c r="K233" s="72" t="s">
        <v>36</v>
      </c>
      <c r="L233" s="73" t="s">
        <v>37</v>
      </c>
      <c r="M233" s="73" t="s">
        <v>86</v>
      </c>
      <c r="N233" s="74">
        <v>2670812</v>
      </c>
      <c r="O233" s="75" t="s">
        <v>669</v>
      </c>
      <c r="P233" s="76" t="s">
        <v>670</v>
      </c>
      <c r="Q233" s="172">
        <v>46230</v>
      </c>
      <c r="R233" s="77">
        <v>46414</v>
      </c>
      <c r="S233" s="176">
        <v>46212</v>
      </c>
      <c r="T233" s="78">
        <v>46218</v>
      </c>
      <c r="U233" s="78">
        <v>46218</v>
      </c>
      <c r="V233" s="79" t="s">
        <v>41</v>
      </c>
      <c r="W233" s="79" t="s">
        <v>32</v>
      </c>
      <c r="X233" s="80" t="s">
        <v>41</v>
      </c>
      <c r="Y233" s="76" t="s">
        <v>32</v>
      </c>
      <c r="Z233" s="68"/>
      <c r="AA233" s="70" t="s">
        <v>43</v>
      </c>
      <c r="AB233" s="107" t="e">
        <f>+VLOOKUP(A233,'[1]VALID RIM NUEVAM'!A$1:O$65536,15,0)</f>
        <v>#N/A</v>
      </c>
      <c r="AC233" s="70"/>
      <c r="AD233" s="70"/>
      <c r="AE233" s="70"/>
    </row>
    <row r="234" spans="1:31" ht="30">
      <c r="A234" s="68" t="str">
        <f t="shared" si="3"/>
        <v>700711264063M COMPANY</v>
      </c>
      <c r="B234" s="69">
        <v>70071126406</v>
      </c>
      <c r="C234" s="68" t="s">
        <v>44</v>
      </c>
      <c r="D234" s="68">
        <v>3808941900</v>
      </c>
      <c r="E234" s="68" t="s">
        <v>32</v>
      </c>
      <c r="F234" s="70">
        <v>2018012294</v>
      </c>
      <c r="G234" s="71" t="s">
        <v>32</v>
      </c>
      <c r="H234" s="70" t="s">
        <v>45</v>
      </c>
      <c r="I234" s="70" t="s">
        <v>35</v>
      </c>
      <c r="J234" s="72">
        <v>99.265000000000001</v>
      </c>
      <c r="K234" s="72" t="s">
        <v>36</v>
      </c>
      <c r="L234" s="73" t="s">
        <v>37</v>
      </c>
      <c r="M234" s="73" t="s">
        <v>46</v>
      </c>
      <c r="N234" s="74">
        <v>2670812</v>
      </c>
      <c r="O234" s="75" t="s">
        <v>669</v>
      </c>
      <c r="P234" s="76" t="s">
        <v>670</v>
      </c>
      <c r="Q234" s="172">
        <v>46230</v>
      </c>
      <c r="R234" s="77">
        <v>46414</v>
      </c>
      <c r="S234" s="176">
        <v>46212</v>
      </c>
      <c r="T234" s="78">
        <v>46218</v>
      </c>
      <c r="U234" s="78">
        <v>46218</v>
      </c>
      <c r="V234" s="79" t="s">
        <v>41</v>
      </c>
      <c r="W234" s="79" t="s">
        <v>32</v>
      </c>
      <c r="X234" s="80" t="s">
        <v>41</v>
      </c>
      <c r="Y234" s="76" t="s">
        <v>32</v>
      </c>
      <c r="Z234" s="68"/>
      <c r="AA234" s="70" t="s">
        <v>43</v>
      </c>
      <c r="AB234" s="107" t="e">
        <f>+VLOOKUP(A234,'[1]VALID RIM NUEVAM'!A$1:O$65536,15,0)</f>
        <v>#N/A</v>
      </c>
      <c r="AC234" s="70" t="s">
        <v>43</v>
      </c>
      <c r="AD234" s="70">
        <v>2533450</v>
      </c>
      <c r="AE234" s="70" t="s">
        <v>52</v>
      </c>
    </row>
    <row r="235" spans="1:31" ht="30">
      <c r="A235" s="68" t="str">
        <f t="shared" si="3"/>
        <v>XA0092249903M COMPANY</v>
      </c>
      <c r="B235" s="69" t="s">
        <v>53</v>
      </c>
      <c r="C235" s="68" t="s">
        <v>54</v>
      </c>
      <c r="D235" s="68">
        <v>8421399000</v>
      </c>
      <c r="E235" s="68" t="s">
        <v>32</v>
      </c>
      <c r="F235" s="70">
        <v>2021013546</v>
      </c>
      <c r="G235" s="71" t="s">
        <v>32</v>
      </c>
      <c r="H235" s="70" t="s">
        <v>45</v>
      </c>
      <c r="I235" s="70" t="s">
        <v>35</v>
      </c>
      <c r="J235" s="72" t="s">
        <v>55</v>
      </c>
      <c r="K235" s="72" t="s">
        <v>36</v>
      </c>
      <c r="L235" s="73" t="s">
        <v>37</v>
      </c>
      <c r="M235" s="73" t="s">
        <v>46</v>
      </c>
      <c r="N235" s="74">
        <v>2670812</v>
      </c>
      <c r="O235" s="75" t="s">
        <v>669</v>
      </c>
      <c r="P235" s="76" t="s">
        <v>670</v>
      </c>
      <c r="Q235" s="172">
        <v>46230</v>
      </c>
      <c r="R235" s="77">
        <v>46414</v>
      </c>
      <c r="S235" s="176">
        <v>46212</v>
      </c>
      <c r="T235" s="78">
        <v>46218</v>
      </c>
      <c r="U235" s="78">
        <v>46218</v>
      </c>
      <c r="V235" s="79" t="s">
        <v>41</v>
      </c>
      <c r="W235" s="79" t="s">
        <v>32</v>
      </c>
      <c r="X235" s="80" t="s">
        <v>41</v>
      </c>
      <c r="Y235" s="76" t="s">
        <v>32</v>
      </c>
      <c r="Z235" s="68"/>
      <c r="AA235" s="70" t="s">
        <v>43</v>
      </c>
      <c r="AB235" s="107" t="e">
        <f>+VLOOKUP(A235,'[1]VALID RIM NUEVAM'!A$1:O$65536,15,0)</f>
        <v>#N/A</v>
      </c>
      <c r="AC235" s="70" t="s">
        <v>43</v>
      </c>
      <c r="AD235" s="70" t="e">
        <v>#N/A</v>
      </c>
      <c r="AE235" s="70" t="e">
        <v>#N/A</v>
      </c>
    </row>
    <row r="236" spans="1:31" ht="30">
      <c r="A236" s="68" t="str">
        <f t="shared" si="3"/>
        <v>702007380303M COMPANY</v>
      </c>
      <c r="B236" s="69">
        <v>70200738030</v>
      </c>
      <c r="C236" s="68" t="s">
        <v>54</v>
      </c>
      <c r="D236" s="68">
        <v>8421399000</v>
      </c>
      <c r="E236" s="68" t="s">
        <v>32</v>
      </c>
      <c r="F236" s="70">
        <v>2021013546</v>
      </c>
      <c r="G236" s="71" t="s">
        <v>32</v>
      </c>
      <c r="H236" s="70" t="s">
        <v>45</v>
      </c>
      <c r="I236" s="70" t="s">
        <v>35</v>
      </c>
      <c r="J236" s="72" t="s">
        <v>56</v>
      </c>
      <c r="K236" s="72" t="s">
        <v>36</v>
      </c>
      <c r="L236" s="73" t="s">
        <v>37</v>
      </c>
      <c r="M236" s="73" t="s">
        <v>46</v>
      </c>
      <c r="N236" s="74">
        <v>2670812</v>
      </c>
      <c r="O236" s="75" t="s">
        <v>669</v>
      </c>
      <c r="P236" s="76" t="s">
        <v>670</v>
      </c>
      <c r="Q236" s="172">
        <v>46230</v>
      </c>
      <c r="R236" s="77">
        <v>46414</v>
      </c>
      <c r="S236" s="176">
        <v>46212</v>
      </c>
      <c r="T236" s="78">
        <v>46218</v>
      </c>
      <c r="U236" s="78">
        <v>46218</v>
      </c>
      <c r="V236" s="79" t="s">
        <v>41</v>
      </c>
      <c r="W236" s="79" t="s">
        <v>32</v>
      </c>
      <c r="X236" s="80" t="s">
        <v>41</v>
      </c>
      <c r="Y236" s="76" t="s">
        <v>32</v>
      </c>
      <c r="Z236" s="68"/>
      <c r="AA236" s="70" t="s">
        <v>43</v>
      </c>
      <c r="AB236" s="107" t="e">
        <f>+VLOOKUP(A236,'[1]VALID RIM NUEVAM'!A$1:O$65536,15,0)</f>
        <v>#N/A</v>
      </c>
      <c r="AC236" s="70" t="s">
        <v>43</v>
      </c>
      <c r="AD236" s="70">
        <v>2548911</v>
      </c>
      <c r="AE236" s="70" t="s">
        <v>57</v>
      </c>
    </row>
    <row r="237" spans="1:31" ht="30">
      <c r="A237" s="68" t="str">
        <f t="shared" si="3"/>
        <v>702011866683M COMPANY</v>
      </c>
      <c r="B237" s="69">
        <v>70201186668</v>
      </c>
      <c r="C237" s="68">
        <v>390</v>
      </c>
      <c r="D237" s="68">
        <v>8419899990</v>
      </c>
      <c r="E237" s="68" t="s">
        <v>32</v>
      </c>
      <c r="F237" s="70">
        <v>2013016759</v>
      </c>
      <c r="G237" s="71" t="s">
        <v>32</v>
      </c>
      <c r="H237" s="70" t="s">
        <v>45</v>
      </c>
      <c r="I237" s="70" t="s">
        <v>35</v>
      </c>
      <c r="J237" s="72" t="s">
        <v>58</v>
      </c>
      <c r="K237" s="72" t="s">
        <v>36</v>
      </c>
      <c r="L237" s="73" t="s">
        <v>37</v>
      </c>
      <c r="M237" s="73" t="s">
        <v>46</v>
      </c>
      <c r="N237" s="74">
        <v>2670812</v>
      </c>
      <c r="O237" s="75" t="s">
        <v>669</v>
      </c>
      <c r="P237" s="76" t="s">
        <v>670</v>
      </c>
      <c r="Q237" s="172">
        <v>46230</v>
      </c>
      <c r="R237" s="77">
        <v>46414</v>
      </c>
      <c r="S237" s="176">
        <v>46212</v>
      </c>
      <c r="T237" s="78">
        <v>46218</v>
      </c>
      <c r="U237" s="78">
        <v>46218</v>
      </c>
      <c r="V237" s="79" t="s">
        <v>41</v>
      </c>
      <c r="W237" s="79" t="s">
        <v>32</v>
      </c>
      <c r="X237" s="80" t="s">
        <v>41</v>
      </c>
      <c r="Y237" s="76" t="s">
        <v>32</v>
      </c>
      <c r="Z237" s="68"/>
      <c r="AA237" s="70" t="s">
        <v>43</v>
      </c>
      <c r="AB237" s="107" t="e">
        <f>+VLOOKUP(A237,'[1]VALID RIM NUEVAM'!A$1:O$65536,15,0)</f>
        <v>#N/A</v>
      </c>
      <c r="AC237" s="70" t="s">
        <v>43</v>
      </c>
      <c r="AD237" s="70" t="e">
        <v>#N/A</v>
      </c>
      <c r="AE237" s="70" t="e">
        <v>#N/A</v>
      </c>
    </row>
    <row r="238" spans="1:31" ht="30">
      <c r="A238" s="68" t="str">
        <f t="shared" si="3"/>
        <v>702018022723M COMPANY</v>
      </c>
      <c r="B238" s="69">
        <v>70201802272</v>
      </c>
      <c r="C238" s="68">
        <v>96750</v>
      </c>
      <c r="D238" s="68">
        <v>9402909000</v>
      </c>
      <c r="E238" s="68" t="s">
        <v>32</v>
      </c>
      <c r="F238" s="70">
        <v>2021007578</v>
      </c>
      <c r="G238" s="71" t="s">
        <v>32</v>
      </c>
      <c r="H238" s="70" t="s">
        <v>45</v>
      </c>
      <c r="I238" s="70" t="s">
        <v>35</v>
      </c>
      <c r="J238" s="72" t="s">
        <v>59</v>
      </c>
      <c r="K238" s="72" t="s">
        <v>36</v>
      </c>
      <c r="L238" s="73" t="s">
        <v>37</v>
      </c>
      <c r="M238" s="73" t="s">
        <v>46</v>
      </c>
      <c r="N238" s="74">
        <v>2670812</v>
      </c>
      <c r="O238" s="75" t="s">
        <v>669</v>
      </c>
      <c r="P238" s="76" t="s">
        <v>670</v>
      </c>
      <c r="Q238" s="172">
        <v>46230</v>
      </c>
      <c r="R238" s="77">
        <v>46414</v>
      </c>
      <c r="S238" s="176">
        <v>46212</v>
      </c>
      <c r="T238" s="78">
        <v>46218</v>
      </c>
      <c r="U238" s="78">
        <v>46218</v>
      </c>
      <c r="V238" s="79" t="s">
        <v>41</v>
      </c>
      <c r="W238" s="79" t="s">
        <v>32</v>
      </c>
      <c r="X238" s="80" t="s">
        <v>41</v>
      </c>
      <c r="Y238" s="76" t="s">
        <v>32</v>
      </c>
      <c r="Z238" s="68"/>
      <c r="AA238" s="70" t="s">
        <v>43</v>
      </c>
      <c r="AB238" s="107" t="e">
        <f>+VLOOKUP(A238,'[1]VALID RIM NUEVAM'!A$1:O$65536,15,0)</f>
        <v>#N/A</v>
      </c>
      <c r="AC238" s="70" t="s">
        <v>43</v>
      </c>
      <c r="AD238" s="70" t="e">
        <v>#N/A</v>
      </c>
      <c r="AE238" s="70" t="e">
        <v>#N/A</v>
      </c>
    </row>
    <row r="239" spans="1:31" ht="30">
      <c r="A239" s="68" t="str">
        <f t="shared" si="3"/>
        <v>702011867183M COMPANY</v>
      </c>
      <c r="B239" s="69">
        <v>70201186718</v>
      </c>
      <c r="C239" s="68">
        <v>490</v>
      </c>
      <c r="D239" s="68">
        <v>9027500000</v>
      </c>
      <c r="E239" s="68" t="s">
        <v>32</v>
      </c>
      <c r="F239" s="70">
        <v>2013016759</v>
      </c>
      <c r="G239" s="71" t="s">
        <v>32</v>
      </c>
      <c r="H239" s="70" t="s">
        <v>45</v>
      </c>
      <c r="I239" s="70" t="s">
        <v>35</v>
      </c>
      <c r="J239" s="72" t="s">
        <v>61</v>
      </c>
      <c r="K239" s="72" t="s">
        <v>36</v>
      </c>
      <c r="L239" s="73" t="s">
        <v>62</v>
      </c>
      <c r="M239" s="73" t="s">
        <v>46</v>
      </c>
      <c r="N239" s="74">
        <v>2670812</v>
      </c>
      <c r="O239" s="75" t="s">
        <v>669</v>
      </c>
      <c r="P239" s="76" t="s">
        <v>670</v>
      </c>
      <c r="Q239" s="172">
        <v>46230</v>
      </c>
      <c r="R239" s="77">
        <v>46414</v>
      </c>
      <c r="S239" s="176">
        <v>46212</v>
      </c>
      <c r="T239" s="78">
        <v>46218</v>
      </c>
      <c r="U239" s="78">
        <v>46218</v>
      </c>
      <c r="V239" s="79" t="s">
        <v>41</v>
      </c>
      <c r="W239" s="79" t="s">
        <v>32</v>
      </c>
      <c r="X239" s="80" t="s">
        <v>41</v>
      </c>
      <c r="Y239" s="76" t="s">
        <v>32</v>
      </c>
      <c r="Z239" s="68"/>
      <c r="AA239" s="70" t="s">
        <v>43</v>
      </c>
      <c r="AB239" s="107" t="e">
        <f>+VLOOKUP(A239,'[1]VALID RIM NUEVAM'!A$1:O$65536,15,0)</f>
        <v>#N/A</v>
      </c>
      <c r="AC239" s="70" t="s">
        <v>43</v>
      </c>
      <c r="AD239" s="70" t="e">
        <v>#N/A</v>
      </c>
      <c r="AE239" s="70" t="e">
        <v>#N/A</v>
      </c>
    </row>
    <row r="240" spans="1:31" ht="30">
      <c r="A240" s="68" t="str">
        <f t="shared" si="3"/>
        <v>702011866763M COMPANY</v>
      </c>
      <c r="B240" s="69">
        <v>70201186676</v>
      </c>
      <c r="C240" s="68" t="s">
        <v>63</v>
      </c>
      <c r="D240" s="68">
        <v>9027500000</v>
      </c>
      <c r="E240" s="68" t="s">
        <v>32</v>
      </c>
      <c r="F240" s="70">
        <v>2013016759</v>
      </c>
      <c r="G240" s="71" t="s">
        <v>32</v>
      </c>
      <c r="H240" s="70" t="s">
        <v>45</v>
      </c>
      <c r="I240" s="70" t="s">
        <v>35</v>
      </c>
      <c r="J240" s="72" t="s">
        <v>64</v>
      </c>
      <c r="K240" s="72" t="s">
        <v>36</v>
      </c>
      <c r="L240" s="73" t="s">
        <v>62</v>
      </c>
      <c r="M240" s="73" t="s">
        <v>46</v>
      </c>
      <c r="N240" s="74">
        <v>2670812</v>
      </c>
      <c r="O240" s="75" t="s">
        <v>669</v>
      </c>
      <c r="P240" s="76" t="s">
        <v>670</v>
      </c>
      <c r="Q240" s="172">
        <v>46230</v>
      </c>
      <c r="R240" s="77">
        <v>46414</v>
      </c>
      <c r="S240" s="176">
        <v>46212</v>
      </c>
      <c r="T240" s="78">
        <v>46218</v>
      </c>
      <c r="U240" s="78">
        <v>46218</v>
      </c>
      <c r="V240" s="79" t="s">
        <v>41</v>
      </c>
      <c r="W240" s="79" t="s">
        <v>32</v>
      </c>
      <c r="X240" s="80" t="s">
        <v>41</v>
      </c>
      <c r="Y240" s="76" t="s">
        <v>32</v>
      </c>
      <c r="Z240" s="68"/>
      <c r="AA240" s="70" t="s">
        <v>43</v>
      </c>
      <c r="AB240" s="107" t="e">
        <f>+VLOOKUP(A240,'[1]VALID RIM NUEVAM'!A$1:O$65536,15,0)</f>
        <v>#N/A</v>
      </c>
      <c r="AC240" s="70" t="s">
        <v>43</v>
      </c>
      <c r="AD240" s="70" t="e">
        <v>#N/A</v>
      </c>
      <c r="AE240" s="70" t="e">
        <v>#N/A</v>
      </c>
    </row>
    <row r="241" spans="1:31" ht="45">
      <c r="A241" s="68" t="str">
        <f t="shared" ref="A241:A304" si="4">+B241&amp;I241</f>
        <v>806100337653M COMPANY</v>
      </c>
      <c r="B241" s="69">
        <v>80610033765</v>
      </c>
      <c r="C241" s="68">
        <v>40037</v>
      </c>
      <c r="D241" s="68">
        <v>8535909000</v>
      </c>
      <c r="E241" s="68" t="s">
        <v>32</v>
      </c>
      <c r="F241" s="70">
        <v>3517</v>
      </c>
      <c r="G241" s="71">
        <v>47733</v>
      </c>
      <c r="H241" s="70" t="s">
        <v>141</v>
      </c>
      <c r="I241" s="70" t="s">
        <v>35</v>
      </c>
      <c r="J241" s="72">
        <v>4.7084999999999999</v>
      </c>
      <c r="K241" s="72" t="s">
        <v>36</v>
      </c>
      <c r="L241" s="73" t="s">
        <v>590</v>
      </c>
      <c r="M241" s="73" t="s">
        <v>38</v>
      </c>
      <c r="N241" s="74">
        <v>2674508</v>
      </c>
      <c r="O241" s="75" t="s">
        <v>676</v>
      </c>
      <c r="P241" s="76" t="s">
        <v>677</v>
      </c>
      <c r="Q241" s="172">
        <v>46234</v>
      </c>
      <c r="R241" s="77">
        <v>46418</v>
      </c>
      <c r="S241" s="176">
        <v>46224</v>
      </c>
      <c r="T241" s="78">
        <v>46226</v>
      </c>
      <c r="U241" s="78">
        <v>46226</v>
      </c>
      <c r="V241" s="79" t="s">
        <v>41</v>
      </c>
      <c r="W241" s="79" t="s">
        <v>32</v>
      </c>
      <c r="X241" s="80" t="s">
        <v>41</v>
      </c>
      <c r="Y241" s="76" t="s">
        <v>32</v>
      </c>
      <c r="Z241" s="68"/>
      <c r="AA241" s="70" t="s">
        <v>43</v>
      </c>
      <c r="AB241" s="107" t="e">
        <f>+VLOOKUP(A241,'[1]VALID RIM NUEVAM'!A$1:O$65536,15,0)</f>
        <v>#N/A</v>
      </c>
      <c r="AC241" s="70"/>
      <c r="AD241" s="70"/>
      <c r="AE241" s="70"/>
    </row>
    <row r="242" spans="1:31" ht="300">
      <c r="A242" s="68" t="str">
        <f t="shared" si="4"/>
        <v>700716836043M COMPANY</v>
      </c>
      <c r="B242" s="69">
        <v>70071683604</v>
      </c>
      <c r="C242" s="68" t="s">
        <v>678</v>
      </c>
      <c r="D242" s="68">
        <v>3402500000</v>
      </c>
      <c r="E242" s="68" t="s">
        <v>32</v>
      </c>
      <c r="F242" s="70" t="s">
        <v>679</v>
      </c>
      <c r="G242" s="71" t="s">
        <v>32</v>
      </c>
      <c r="H242" s="70" t="s">
        <v>383</v>
      </c>
      <c r="I242" s="70" t="s">
        <v>35</v>
      </c>
      <c r="J242" s="111">
        <v>168.18</v>
      </c>
      <c r="K242" s="111" t="s">
        <v>36</v>
      </c>
      <c r="L242" s="106" t="s">
        <v>37</v>
      </c>
      <c r="M242" s="95" t="s">
        <v>431</v>
      </c>
      <c r="N242" s="92">
        <v>2672114</v>
      </c>
      <c r="O242" s="75" t="s">
        <v>680</v>
      </c>
      <c r="P242" s="76" t="s">
        <v>681</v>
      </c>
      <c r="Q242" s="172">
        <v>46240</v>
      </c>
      <c r="R242" s="77">
        <v>46424</v>
      </c>
      <c r="S242" s="176">
        <v>46217</v>
      </c>
      <c r="T242" s="78">
        <v>46219</v>
      </c>
      <c r="U242" s="78">
        <v>46219</v>
      </c>
      <c r="V242" s="87" t="s">
        <v>682</v>
      </c>
      <c r="W242" s="87" t="s">
        <v>683</v>
      </c>
      <c r="X242" s="80" t="s">
        <v>41</v>
      </c>
      <c r="Y242" s="76" t="s">
        <v>32</v>
      </c>
      <c r="Z242" s="68"/>
      <c r="AA242" s="70" t="s">
        <v>43</v>
      </c>
      <c r="AB242" s="99"/>
      <c r="AC242" s="70"/>
      <c r="AD242" s="70"/>
      <c r="AE242" s="70"/>
    </row>
    <row r="243" spans="1:31" ht="30">
      <c r="A243" s="68" t="str">
        <f t="shared" si="4"/>
        <v>XH0038102943M CHINA LIMITED</v>
      </c>
      <c r="B243" s="69" t="s">
        <v>673</v>
      </c>
      <c r="C243" s="68">
        <v>9010</v>
      </c>
      <c r="D243" s="68">
        <v>6307903010</v>
      </c>
      <c r="E243" s="68" t="s">
        <v>32</v>
      </c>
      <c r="F243" s="70">
        <v>2021028760</v>
      </c>
      <c r="G243" s="71" t="s">
        <v>32</v>
      </c>
      <c r="H243" s="70" t="s">
        <v>45</v>
      </c>
      <c r="I243" s="70" t="s">
        <v>221</v>
      </c>
      <c r="J243" s="72">
        <v>1</v>
      </c>
      <c r="K243" s="72" t="s">
        <v>36</v>
      </c>
      <c r="L243" s="73" t="s">
        <v>684</v>
      </c>
      <c r="M243" s="73" t="s">
        <v>86</v>
      </c>
      <c r="N243" s="74">
        <v>2679618</v>
      </c>
      <c r="O243" s="75" t="s">
        <v>685</v>
      </c>
      <c r="P243" s="76" t="s">
        <v>686</v>
      </c>
      <c r="Q243" s="172">
        <v>46244</v>
      </c>
      <c r="R243" s="77">
        <v>46428</v>
      </c>
      <c r="S243" s="176">
        <v>46237</v>
      </c>
      <c r="T243" s="78">
        <v>46238</v>
      </c>
      <c r="U243" s="78">
        <v>46238</v>
      </c>
      <c r="V243" s="79" t="s">
        <v>41</v>
      </c>
      <c r="W243" s="79" t="s">
        <v>32</v>
      </c>
      <c r="X243" s="80" t="s">
        <v>41</v>
      </c>
      <c r="Y243" s="76" t="s">
        <v>32</v>
      </c>
      <c r="Z243" s="68"/>
      <c r="AA243" s="70" t="s">
        <v>43</v>
      </c>
      <c r="AB243" s="107" t="e">
        <f>+VLOOKUP(A243,'[1]VALID RIM NUEVAM'!A$1:O$65536,15,0)</f>
        <v>#N/A</v>
      </c>
      <c r="AC243" s="70"/>
      <c r="AD243" s="70"/>
      <c r="AE243" s="70"/>
    </row>
    <row r="244" spans="1:31" ht="45">
      <c r="A244" s="68" t="str">
        <f t="shared" si="4"/>
        <v>UU0094724713M EMEA GMBH</v>
      </c>
      <c r="B244" s="69" t="s">
        <v>139</v>
      </c>
      <c r="C244" s="68" t="s">
        <v>140</v>
      </c>
      <c r="D244" s="68">
        <v>3919100000</v>
      </c>
      <c r="E244" s="68" t="s">
        <v>32</v>
      </c>
      <c r="F244" s="70">
        <v>3538</v>
      </c>
      <c r="G244" s="71">
        <v>47744</v>
      </c>
      <c r="H244" s="70" t="s">
        <v>141</v>
      </c>
      <c r="I244" s="70" t="s">
        <v>84</v>
      </c>
      <c r="J244" s="72">
        <v>0.42759999999999998</v>
      </c>
      <c r="K244" s="72" t="s">
        <v>36</v>
      </c>
      <c r="L244" s="73" t="s">
        <v>142</v>
      </c>
      <c r="M244" s="73" t="s">
        <v>96</v>
      </c>
      <c r="N244" s="74">
        <v>2680682</v>
      </c>
      <c r="O244" s="75" t="s">
        <v>687</v>
      </c>
      <c r="P244" s="76" t="s">
        <v>688</v>
      </c>
      <c r="Q244" s="172">
        <v>46244</v>
      </c>
      <c r="R244" s="77">
        <v>46428</v>
      </c>
      <c r="S244" s="176">
        <v>46238</v>
      </c>
      <c r="T244" s="78">
        <v>46239</v>
      </c>
      <c r="U244" s="78">
        <v>46239</v>
      </c>
      <c r="V244" s="79" t="s">
        <v>41</v>
      </c>
      <c r="W244" s="79" t="s">
        <v>32</v>
      </c>
      <c r="X244" s="80" t="s">
        <v>41</v>
      </c>
      <c r="Y244" s="76" t="s">
        <v>32</v>
      </c>
      <c r="Z244" s="68"/>
      <c r="AA244" s="70" t="s">
        <v>43</v>
      </c>
      <c r="AB244" s="107" t="e">
        <f>+VLOOKUP(A244,'[1]VALID RIM NUEVAM'!A$1:O$65536,15,0)</f>
        <v>#N/A</v>
      </c>
      <c r="AC244" s="70" t="s">
        <v>43</v>
      </c>
      <c r="AD244" s="70"/>
      <c r="AE244" s="70" t="s">
        <v>146</v>
      </c>
    </row>
    <row r="245" spans="1:31" ht="30">
      <c r="A245" s="68" t="str">
        <f t="shared" si="4"/>
        <v>HC0006758643M DO BRASIL LTDA</v>
      </c>
      <c r="B245" s="69" t="s">
        <v>92</v>
      </c>
      <c r="C245" s="68" t="s">
        <v>32</v>
      </c>
      <c r="D245" s="68">
        <v>3005101000</v>
      </c>
      <c r="E245" s="68">
        <v>20105662</v>
      </c>
      <c r="F245" s="70" t="s">
        <v>689</v>
      </c>
      <c r="G245" s="71">
        <v>49585</v>
      </c>
      <c r="H245" s="70" t="s">
        <v>45</v>
      </c>
      <c r="I245" s="70" t="s">
        <v>94</v>
      </c>
      <c r="J245" s="72">
        <v>0.39100000000000001</v>
      </c>
      <c r="K245" s="72" t="s">
        <v>36</v>
      </c>
      <c r="L245" s="73" t="s">
        <v>95</v>
      </c>
      <c r="M245" s="73" t="s">
        <v>96</v>
      </c>
      <c r="N245" s="74">
        <v>2680563</v>
      </c>
      <c r="O245" s="75" t="s">
        <v>690</v>
      </c>
      <c r="P245" s="76" t="s">
        <v>691</v>
      </c>
      <c r="Q245" s="172">
        <v>46245</v>
      </c>
      <c r="R245" s="77">
        <v>46429</v>
      </c>
      <c r="S245" s="176">
        <v>46238</v>
      </c>
      <c r="T245" s="78">
        <v>46244</v>
      </c>
      <c r="U245" s="78">
        <v>46244</v>
      </c>
      <c r="V245" s="79" t="s">
        <v>41</v>
      </c>
      <c r="W245" s="79" t="s">
        <v>32</v>
      </c>
      <c r="X245" s="80" t="s">
        <v>41</v>
      </c>
      <c r="Y245" s="76" t="s">
        <v>32</v>
      </c>
      <c r="Z245" s="68"/>
      <c r="AA245" s="70" t="s">
        <v>43</v>
      </c>
      <c r="AB245" s="107" t="e">
        <f>+VLOOKUP(A245,'[1]VALID RIM NUEVAM'!A$1:O$65536,15,0)</f>
        <v>#N/A</v>
      </c>
      <c r="AC245" s="70" t="s">
        <v>43</v>
      </c>
      <c r="AD245" s="70">
        <v>25103989</v>
      </c>
      <c r="AE245" s="70" t="s">
        <v>100</v>
      </c>
    </row>
    <row r="246" spans="1:31" ht="30">
      <c r="A246" s="68" t="str">
        <f t="shared" si="4"/>
        <v>HC0006758563M DO BRASIL LTDA</v>
      </c>
      <c r="B246" s="69" t="s">
        <v>101</v>
      </c>
      <c r="C246" s="68" t="s">
        <v>32</v>
      </c>
      <c r="D246" s="68">
        <v>3005101000</v>
      </c>
      <c r="E246" s="68">
        <v>20105662</v>
      </c>
      <c r="F246" s="70" t="s">
        <v>689</v>
      </c>
      <c r="G246" s="71">
        <v>49585</v>
      </c>
      <c r="H246" s="70" t="s">
        <v>45</v>
      </c>
      <c r="I246" s="70" t="s">
        <v>94</v>
      </c>
      <c r="J246" s="86">
        <v>0.28899999999999998</v>
      </c>
      <c r="K246" s="72" t="s">
        <v>36</v>
      </c>
      <c r="L246" s="73" t="s">
        <v>95</v>
      </c>
      <c r="M246" s="73" t="s">
        <v>96</v>
      </c>
      <c r="N246" s="74">
        <v>2680563</v>
      </c>
      <c r="O246" s="75" t="s">
        <v>690</v>
      </c>
      <c r="P246" s="76" t="s">
        <v>691</v>
      </c>
      <c r="Q246" s="172">
        <v>46245</v>
      </c>
      <c r="R246" s="77">
        <v>46429</v>
      </c>
      <c r="S246" s="176">
        <v>46238</v>
      </c>
      <c r="T246" s="78">
        <v>46244</v>
      </c>
      <c r="U246" s="78">
        <v>46244</v>
      </c>
      <c r="V246" s="79" t="s">
        <v>41</v>
      </c>
      <c r="W246" s="79" t="s">
        <v>32</v>
      </c>
      <c r="X246" s="80" t="s">
        <v>41</v>
      </c>
      <c r="Y246" s="76" t="s">
        <v>32</v>
      </c>
      <c r="Z246" s="68"/>
      <c r="AA246" s="70" t="s">
        <v>43</v>
      </c>
      <c r="AB246" s="107" t="e">
        <f>+VLOOKUP(A246,'[1]VALID RIM NUEVAM'!A$1:O$65536,15,0)</f>
        <v>#N/A</v>
      </c>
      <c r="AC246" s="70" t="s">
        <v>43</v>
      </c>
      <c r="AD246" s="70">
        <v>25103989</v>
      </c>
      <c r="AE246" s="70" t="s">
        <v>102</v>
      </c>
    </row>
    <row r="247" spans="1:31" ht="30">
      <c r="A247" s="68" t="str">
        <f t="shared" si="4"/>
        <v>HC0006760373M DO BRASIL LTDA</v>
      </c>
      <c r="B247" s="69" t="s">
        <v>103</v>
      </c>
      <c r="C247" s="68" t="s">
        <v>32</v>
      </c>
      <c r="D247" s="68">
        <v>3005101000</v>
      </c>
      <c r="E247" s="68">
        <v>20105662</v>
      </c>
      <c r="F247" s="70" t="s">
        <v>689</v>
      </c>
      <c r="G247" s="71">
        <v>49585</v>
      </c>
      <c r="H247" s="70" t="s">
        <v>45</v>
      </c>
      <c r="I247" s="70" t="s">
        <v>94</v>
      </c>
      <c r="J247" s="86">
        <v>0.66800000000000004</v>
      </c>
      <c r="K247" s="72" t="s">
        <v>36</v>
      </c>
      <c r="L247" s="73" t="s">
        <v>95</v>
      </c>
      <c r="M247" s="73" t="s">
        <v>96</v>
      </c>
      <c r="N247" s="74">
        <v>2680563</v>
      </c>
      <c r="O247" s="75" t="s">
        <v>690</v>
      </c>
      <c r="P247" s="76" t="s">
        <v>691</v>
      </c>
      <c r="Q247" s="172">
        <v>46245</v>
      </c>
      <c r="R247" s="77">
        <v>46429</v>
      </c>
      <c r="S247" s="176">
        <v>46238</v>
      </c>
      <c r="T247" s="78">
        <v>46244</v>
      </c>
      <c r="U247" s="78">
        <v>46244</v>
      </c>
      <c r="V247" s="79" t="s">
        <v>41</v>
      </c>
      <c r="W247" s="79" t="s">
        <v>32</v>
      </c>
      <c r="X247" s="80" t="s">
        <v>41</v>
      </c>
      <c r="Y247" s="76" t="s">
        <v>32</v>
      </c>
      <c r="Z247" s="68"/>
      <c r="AA247" s="70" t="s">
        <v>43</v>
      </c>
      <c r="AB247" s="107" t="e">
        <f>+VLOOKUP(A247,'[1]VALID RIM NUEVAM'!A$1:O$65536,15,0)</f>
        <v>#N/A</v>
      </c>
      <c r="AC247" s="70" t="s">
        <v>43</v>
      </c>
      <c r="AD247" s="70">
        <v>25106638</v>
      </c>
      <c r="AE247" s="70" t="s">
        <v>104</v>
      </c>
    </row>
    <row r="248" spans="1:31" ht="30">
      <c r="A248" s="68" t="str">
        <f t="shared" si="4"/>
        <v>806101016613M COMPANY</v>
      </c>
      <c r="B248" s="69">
        <v>80610101661</v>
      </c>
      <c r="C248" s="68" t="s">
        <v>131</v>
      </c>
      <c r="D248" s="68">
        <v>3909500000</v>
      </c>
      <c r="E248" s="68" t="s">
        <v>32</v>
      </c>
      <c r="F248" s="70" t="s">
        <v>692</v>
      </c>
      <c r="G248" s="71" t="s">
        <v>32</v>
      </c>
      <c r="H248" s="70" t="s">
        <v>108</v>
      </c>
      <c r="I248" s="70" t="s">
        <v>35</v>
      </c>
      <c r="J248" s="86">
        <v>9.2637</v>
      </c>
      <c r="K248" s="72" t="s">
        <v>36</v>
      </c>
      <c r="L248" s="73" t="s">
        <v>62</v>
      </c>
      <c r="M248" s="73" t="s">
        <v>38</v>
      </c>
      <c r="N248" s="74">
        <v>2680674</v>
      </c>
      <c r="O248" s="75" t="s">
        <v>693</v>
      </c>
      <c r="P248" s="76" t="s">
        <v>694</v>
      </c>
      <c r="Q248" s="172">
        <v>46245</v>
      </c>
      <c r="R248" s="77">
        <v>46429</v>
      </c>
      <c r="S248" s="176">
        <v>46238</v>
      </c>
      <c r="T248" s="78">
        <v>46239</v>
      </c>
      <c r="U248" s="78">
        <v>46239</v>
      </c>
      <c r="V248" s="79" t="s">
        <v>41</v>
      </c>
      <c r="W248" s="79" t="s">
        <v>32</v>
      </c>
      <c r="X248" s="80" t="s">
        <v>41</v>
      </c>
      <c r="Y248" s="76" t="s">
        <v>32</v>
      </c>
      <c r="Z248" s="68"/>
      <c r="AA248" s="70" t="s">
        <v>43</v>
      </c>
      <c r="AB248" s="107" t="e">
        <f>+VLOOKUP(A248,'[1]VALID RIM NUEVAM'!A$1:O$65536,15,0)</f>
        <v>#N/A</v>
      </c>
      <c r="AC248" s="70" t="s">
        <v>43</v>
      </c>
      <c r="AD248" s="70">
        <v>2523093</v>
      </c>
      <c r="AE248" s="70" t="s">
        <v>136</v>
      </c>
    </row>
    <row r="249" spans="1:31" ht="30">
      <c r="A249" s="68" t="str">
        <f t="shared" si="4"/>
        <v>806114682593M COMPANY</v>
      </c>
      <c r="B249" s="69">
        <v>80611468259</v>
      </c>
      <c r="C249" s="68" t="s">
        <v>137</v>
      </c>
      <c r="D249" s="68">
        <v>3909500000</v>
      </c>
      <c r="E249" s="68" t="s">
        <v>32</v>
      </c>
      <c r="F249" s="70" t="s">
        <v>692</v>
      </c>
      <c r="G249" s="71" t="s">
        <v>32</v>
      </c>
      <c r="H249" s="70" t="s">
        <v>108</v>
      </c>
      <c r="I249" s="70" t="s">
        <v>35</v>
      </c>
      <c r="J249" s="86">
        <v>9.0860000000000003</v>
      </c>
      <c r="K249" s="86" t="s">
        <v>36</v>
      </c>
      <c r="L249" s="112" t="s">
        <v>37</v>
      </c>
      <c r="M249" s="73" t="s">
        <v>38</v>
      </c>
      <c r="N249" s="74">
        <v>2680674</v>
      </c>
      <c r="O249" s="75" t="s">
        <v>693</v>
      </c>
      <c r="P249" s="76" t="s">
        <v>694</v>
      </c>
      <c r="Q249" s="172">
        <v>46245</v>
      </c>
      <c r="R249" s="77">
        <v>46429</v>
      </c>
      <c r="S249" s="176">
        <v>46238</v>
      </c>
      <c r="T249" s="78">
        <v>46239</v>
      </c>
      <c r="U249" s="78">
        <v>46239</v>
      </c>
      <c r="V249" s="79" t="s">
        <v>41</v>
      </c>
      <c r="W249" s="79" t="s">
        <v>32</v>
      </c>
      <c r="X249" s="80" t="s">
        <v>41</v>
      </c>
      <c r="Y249" s="76" t="s">
        <v>32</v>
      </c>
      <c r="Z249" s="68"/>
      <c r="AA249" s="70" t="s">
        <v>43</v>
      </c>
      <c r="AB249" s="107" t="e">
        <f>+VLOOKUP(A249,'[1]VALID RIM NUEVAM'!A$1:O$65536,15,0)</f>
        <v>#N/A</v>
      </c>
      <c r="AC249" s="70" t="s">
        <v>43</v>
      </c>
      <c r="AD249" s="70">
        <v>25108537</v>
      </c>
      <c r="AE249" s="70" t="s">
        <v>138</v>
      </c>
    </row>
    <row r="250" spans="1:31" ht="45">
      <c r="A250" s="68" t="str">
        <f t="shared" si="4"/>
        <v>700160547883M COMPANY</v>
      </c>
      <c r="B250" s="69">
        <v>70016054788</v>
      </c>
      <c r="C250" s="68" t="s">
        <v>695</v>
      </c>
      <c r="D250" s="68">
        <v>3208900000</v>
      </c>
      <c r="E250" s="68" t="s">
        <v>32</v>
      </c>
      <c r="F250" s="70" t="s">
        <v>696</v>
      </c>
      <c r="G250" s="71" t="s">
        <v>32</v>
      </c>
      <c r="H250" s="70" t="s">
        <v>163</v>
      </c>
      <c r="I250" s="70" t="s">
        <v>35</v>
      </c>
      <c r="J250" s="113">
        <v>6.0889100000000003</v>
      </c>
      <c r="K250" s="113" t="s">
        <v>36</v>
      </c>
      <c r="L250" s="114" t="s">
        <v>590</v>
      </c>
      <c r="M250" s="114" t="s">
        <v>46</v>
      </c>
      <c r="N250" s="115">
        <v>2682807</v>
      </c>
      <c r="O250" s="75" t="s">
        <v>697</v>
      </c>
      <c r="P250" s="76" t="s">
        <v>698</v>
      </c>
      <c r="Q250" s="172">
        <v>46252</v>
      </c>
      <c r="R250" s="77">
        <v>46435</v>
      </c>
      <c r="S250" s="176">
        <v>46244</v>
      </c>
      <c r="T250" s="78">
        <v>46245</v>
      </c>
      <c r="U250" s="78">
        <v>46245</v>
      </c>
      <c r="V250" s="87" t="s">
        <v>41</v>
      </c>
      <c r="W250" s="87" t="s">
        <v>32</v>
      </c>
      <c r="X250" s="80" t="s">
        <v>41</v>
      </c>
      <c r="Y250" s="76" t="s">
        <v>32</v>
      </c>
      <c r="Z250" s="68"/>
      <c r="AA250" s="70" t="s">
        <v>43</v>
      </c>
      <c r="AB250" s="89" t="e">
        <f>+VLOOKUP(A250,'[1]VALID RIM NUEVAM'!A$1:O$65536,15,0)</f>
        <v>#N/A</v>
      </c>
      <c r="AC250" s="70"/>
      <c r="AD250" s="70"/>
      <c r="AE250" s="70"/>
    </row>
    <row r="251" spans="1:31" ht="45">
      <c r="A251" s="68" t="str">
        <f t="shared" si="4"/>
        <v>624437495023M COMPANY</v>
      </c>
      <c r="B251" s="69">
        <v>62443749502</v>
      </c>
      <c r="C251" s="68" t="s">
        <v>699</v>
      </c>
      <c r="D251" s="68">
        <v>3506100000</v>
      </c>
      <c r="E251" s="68" t="s">
        <v>32</v>
      </c>
      <c r="F251" s="70" t="s">
        <v>700</v>
      </c>
      <c r="G251" s="71" t="s">
        <v>32</v>
      </c>
      <c r="H251" s="70" t="s">
        <v>163</v>
      </c>
      <c r="I251" s="70" t="s">
        <v>35</v>
      </c>
      <c r="J251" s="113">
        <v>5.7223300000000004</v>
      </c>
      <c r="K251" s="113" t="s">
        <v>36</v>
      </c>
      <c r="L251" s="114" t="s">
        <v>590</v>
      </c>
      <c r="M251" s="114" t="s">
        <v>46</v>
      </c>
      <c r="N251" s="115">
        <v>2682807</v>
      </c>
      <c r="O251" s="75" t="s">
        <v>697</v>
      </c>
      <c r="P251" s="76" t="s">
        <v>698</v>
      </c>
      <c r="Q251" s="172">
        <v>46252</v>
      </c>
      <c r="R251" s="77">
        <v>46435</v>
      </c>
      <c r="S251" s="176">
        <v>46244</v>
      </c>
      <c r="T251" s="78">
        <v>46245</v>
      </c>
      <c r="U251" s="78">
        <v>46245</v>
      </c>
      <c r="V251" s="87" t="s">
        <v>41</v>
      </c>
      <c r="W251" s="87" t="s">
        <v>32</v>
      </c>
      <c r="X251" s="80" t="s">
        <v>41</v>
      </c>
      <c r="Y251" s="76" t="s">
        <v>32</v>
      </c>
      <c r="Z251" s="68"/>
      <c r="AA251" s="70" t="s">
        <v>43</v>
      </c>
      <c r="AB251" s="89" t="e">
        <f>+VLOOKUP(A251,'[1]VALID RIM NUEVAM'!A$1:O$65536,15,0)</f>
        <v>#N/A</v>
      </c>
      <c r="AC251" s="70"/>
      <c r="AD251" s="70"/>
      <c r="AE251" s="70"/>
    </row>
    <row r="252" spans="1:31" ht="45">
      <c r="A252" s="68" t="str">
        <f t="shared" si="4"/>
        <v>700716833723M COMPANY</v>
      </c>
      <c r="B252" s="69">
        <v>70071683372</v>
      </c>
      <c r="C252" s="68" t="s">
        <v>701</v>
      </c>
      <c r="D252" s="68">
        <v>3405900000</v>
      </c>
      <c r="E252" s="68" t="s">
        <v>32</v>
      </c>
      <c r="F252" s="70" t="s">
        <v>702</v>
      </c>
      <c r="G252" s="71" t="s">
        <v>32</v>
      </c>
      <c r="H252" s="70" t="s">
        <v>163</v>
      </c>
      <c r="I252" s="70" t="s">
        <v>35</v>
      </c>
      <c r="J252" s="72">
        <v>93.82</v>
      </c>
      <c r="K252" s="72" t="s">
        <v>36</v>
      </c>
      <c r="L252" s="73" t="s">
        <v>590</v>
      </c>
      <c r="M252" s="73" t="s">
        <v>86</v>
      </c>
      <c r="N252" s="115">
        <v>2682807</v>
      </c>
      <c r="O252" s="75" t="s">
        <v>697</v>
      </c>
      <c r="P252" s="76" t="s">
        <v>698</v>
      </c>
      <c r="Q252" s="172">
        <v>46252</v>
      </c>
      <c r="R252" s="77">
        <v>46435</v>
      </c>
      <c r="S252" s="176">
        <v>46244</v>
      </c>
      <c r="T252" s="78">
        <v>46245</v>
      </c>
      <c r="U252" s="78">
        <v>46245</v>
      </c>
      <c r="V252" s="87" t="s">
        <v>41</v>
      </c>
      <c r="W252" s="87" t="s">
        <v>32</v>
      </c>
      <c r="X252" s="80" t="s">
        <v>41</v>
      </c>
      <c r="Y252" s="76" t="s">
        <v>32</v>
      </c>
      <c r="Z252" s="68"/>
      <c r="AA252" s="70" t="s">
        <v>43</v>
      </c>
      <c r="AB252" s="89" t="e">
        <f>+VLOOKUP(A252,'[1]VALID RIM NUEVAM'!A$1:O$65536,15,0)</f>
        <v>#N/A</v>
      </c>
      <c r="AC252" s="70"/>
      <c r="AD252" s="70"/>
      <c r="AE252" s="70"/>
    </row>
    <row r="253" spans="1:31" ht="30">
      <c r="A253" s="68" t="str">
        <f t="shared" si="4"/>
        <v>750302422443M COMPANY</v>
      </c>
      <c r="B253" s="69">
        <v>75030242244</v>
      </c>
      <c r="C253" s="68" t="s">
        <v>703</v>
      </c>
      <c r="D253" s="68">
        <v>3919100000</v>
      </c>
      <c r="E253" s="68" t="s">
        <v>32</v>
      </c>
      <c r="F253" s="70" t="s">
        <v>704</v>
      </c>
      <c r="G253" s="71">
        <v>47784</v>
      </c>
      <c r="H253" s="70" t="s">
        <v>705</v>
      </c>
      <c r="I253" s="70" t="s">
        <v>35</v>
      </c>
      <c r="J253" s="72">
        <v>22.5213</v>
      </c>
      <c r="K253" s="72" t="s">
        <v>36</v>
      </c>
      <c r="L253" s="73" t="s">
        <v>37</v>
      </c>
      <c r="M253" s="73" t="s">
        <v>96</v>
      </c>
      <c r="N253" s="74">
        <v>2671523</v>
      </c>
      <c r="O253" s="75" t="s">
        <v>706</v>
      </c>
      <c r="P253" s="76" t="s">
        <v>707</v>
      </c>
      <c r="Q253" s="172">
        <v>46252</v>
      </c>
      <c r="R253" s="77">
        <v>46436</v>
      </c>
      <c r="S253" s="176">
        <v>46213</v>
      </c>
      <c r="T253" s="78">
        <v>46245</v>
      </c>
      <c r="U253" s="78">
        <v>46248</v>
      </c>
      <c r="V253" s="79" t="s">
        <v>41</v>
      </c>
      <c r="W253" s="79" t="s">
        <v>32</v>
      </c>
      <c r="X253" s="80" t="s">
        <v>41</v>
      </c>
      <c r="Y253" s="76" t="s">
        <v>32</v>
      </c>
      <c r="Z253" s="68"/>
      <c r="AA253" s="70" t="s">
        <v>43</v>
      </c>
      <c r="AB253" s="99" t="e">
        <f>+VLOOKUP(A253,'[1]VALID RIM NUEVAM'!A$1:O$65536,15,0)</f>
        <v>#N/A</v>
      </c>
      <c r="AC253" s="70"/>
      <c r="AD253" s="70"/>
      <c r="AE253" s="70"/>
    </row>
    <row r="254" spans="1:31" ht="30">
      <c r="A254" s="68" t="str">
        <f t="shared" si="4"/>
        <v>750302858623M COMPANY</v>
      </c>
      <c r="B254" s="69">
        <v>75030285862</v>
      </c>
      <c r="C254" s="68" t="s">
        <v>708</v>
      </c>
      <c r="D254" s="68">
        <v>3919100000</v>
      </c>
      <c r="E254" s="68" t="s">
        <v>32</v>
      </c>
      <c r="F254" s="70" t="s">
        <v>704</v>
      </c>
      <c r="G254" s="71">
        <v>47784</v>
      </c>
      <c r="H254" s="70" t="s">
        <v>705</v>
      </c>
      <c r="I254" s="70" t="s">
        <v>35</v>
      </c>
      <c r="J254" s="72" t="s">
        <v>709</v>
      </c>
      <c r="K254" s="72" t="s">
        <v>36</v>
      </c>
      <c r="L254" s="73" t="s">
        <v>37</v>
      </c>
      <c r="M254" s="73" t="s">
        <v>96</v>
      </c>
      <c r="N254" s="74">
        <v>2671523</v>
      </c>
      <c r="O254" s="75" t="s">
        <v>706</v>
      </c>
      <c r="P254" s="76" t="s">
        <v>707</v>
      </c>
      <c r="Q254" s="172">
        <v>46252</v>
      </c>
      <c r="R254" s="77">
        <v>46436</v>
      </c>
      <c r="S254" s="176">
        <v>46213</v>
      </c>
      <c r="T254" s="78">
        <v>46245</v>
      </c>
      <c r="U254" s="78">
        <v>46248</v>
      </c>
      <c r="V254" s="79" t="s">
        <v>41</v>
      </c>
      <c r="W254" s="79" t="s">
        <v>32</v>
      </c>
      <c r="X254" s="80" t="s">
        <v>41</v>
      </c>
      <c r="Y254" s="76" t="s">
        <v>32</v>
      </c>
      <c r="Z254" s="68"/>
      <c r="AA254" s="70" t="s">
        <v>43</v>
      </c>
      <c r="AB254" s="99" t="e">
        <f>+VLOOKUP(A254,'[1]VALID RIM NUEVAM'!A$1:O$65536,15,0)</f>
        <v>#N/A</v>
      </c>
      <c r="AC254" s="70"/>
      <c r="AD254" s="70"/>
      <c r="AE254" s="70"/>
    </row>
    <row r="255" spans="1:31" ht="45">
      <c r="A255" s="68" t="str">
        <f t="shared" si="4"/>
        <v>750302902433M COMPANY</v>
      </c>
      <c r="B255" s="69">
        <v>75030290243</v>
      </c>
      <c r="C255" s="68" t="s">
        <v>710</v>
      </c>
      <c r="D255" s="68">
        <v>3919100000</v>
      </c>
      <c r="E255" s="68" t="s">
        <v>32</v>
      </c>
      <c r="F255" s="70" t="s">
        <v>704</v>
      </c>
      <c r="G255" s="71">
        <v>47784</v>
      </c>
      <c r="H255" s="70" t="s">
        <v>705</v>
      </c>
      <c r="I255" s="70" t="s">
        <v>35</v>
      </c>
      <c r="J255" s="72">
        <v>23.766110000000001</v>
      </c>
      <c r="K255" s="72" t="s">
        <v>36</v>
      </c>
      <c r="L255" s="73" t="s">
        <v>37</v>
      </c>
      <c r="M255" s="73" t="s">
        <v>96</v>
      </c>
      <c r="N255" s="116">
        <v>2671523</v>
      </c>
      <c r="O255" s="75" t="s">
        <v>706</v>
      </c>
      <c r="P255" s="76" t="s">
        <v>707</v>
      </c>
      <c r="Q255" s="172">
        <v>46252</v>
      </c>
      <c r="R255" s="77">
        <v>46436</v>
      </c>
      <c r="S255" s="176">
        <v>46213</v>
      </c>
      <c r="T255" s="78">
        <v>46245</v>
      </c>
      <c r="U255" s="78">
        <v>46248</v>
      </c>
      <c r="V255" s="79" t="s">
        <v>41</v>
      </c>
      <c r="W255" s="79" t="s">
        <v>32</v>
      </c>
      <c r="X255" s="80" t="s">
        <v>41</v>
      </c>
      <c r="Y255" s="76" t="s">
        <v>32</v>
      </c>
      <c r="Z255" s="68"/>
      <c r="AA255" s="70" t="s">
        <v>43</v>
      </c>
      <c r="AB255" s="99" t="e">
        <f>+VLOOKUP(A255,'[1]VALID RIM NUEVAM'!A$1:O$65536,15,0)</f>
        <v>#N/A</v>
      </c>
      <c r="AC255" s="70"/>
      <c r="AD255" s="70"/>
      <c r="AE255" s="70"/>
    </row>
    <row r="256" spans="1:31" ht="45">
      <c r="A256" s="68" t="str">
        <f t="shared" si="4"/>
        <v>702004151423M CANADA COMPANY</v>
      </c>
      <c r="B256" s="69">
        <v>70200415142</v>
      </c>
      <c r="C256" s="68" t="s">
        <v>66</v>
      </c>
      <c r="D256" s="68">
        <v>3005909000</v>
      </c>
      <c r="E256" s="68">
        <v>20233167</v>
      </c>
      <c r="F256" s="70" t="s">
        <v>67</v>
      </c>
      <c r="G256" s="71">
        <v>48421</v>
      </c>
      <c r="H256" s="70" t="s">
        <v>45</v>
      </c>
      <c r="I256" s="70" t="s">
        <v>68</v>
      </c>
      <c r="J256" s="94">
        <v>5.6099999999999997E-2</v>
      </c>
      <c r="K256" s="94" t="s">
        <v>36</v>
      </c>
      <c r="L256" s="92" t="s">
        <v>69</v>
      </c>
      <c r="M256" s="95" t="s">
        <v>46</v>
      </c>
      <c r="N256" s="92">
        <v>2680425</v>
      </c>
      <c r="O256" s="75" t="s">
        <v>711</v>
      </c>
      <c r="P256" s="76" t="s">
        <v>712</v>
      </c>
      <c r="Q256" s="172">
        <v>46252</v>
      </c>
      <c r="R256" s="77">
        <v>46436</v>
      </c>
      <c r="S256" s="176">
        <v>46238</v>
      </c>
      <c r="T256" s="78">
        <v>46244</v>
      </c>
      <c r="U256" s="78">
        <v>46244</v>
      </c>
      <c r="V256" s="79" t="s">
        <v>41</v>
      </c>
      <c r="W256" s="79" t="s">
        <v>32</v>
      </c>
      <c r="X256" s="80" t="s">
        <v>41</v>
      </c>
      <c r="Y256" s="76" t="s">
        <v>32</v>
      </c>
      <c r="Z256" s="68"/>
      <c r="AA256" s="70" t="s">
        <v>43</v>
      </c>
      <c r="AB256" s="99" t="e">
        <f>+VLOOKUP(A256,'[1]VALID RIM NUEVAM'!A$1:O$65536,15,0)</f>
        <v>#N/A</v>
      </c>
      <c r="AC256" s="70" t="s">
        <v>43</v>
      </c>
      <c r="AD256" s="70">
        <v>2559339</v>
      </c>
      <c r="AE256" s="70" t="s">
        <v>73</v>
      </c>
    </row>
    <row r="257" spans="1:31" ht="45">
      <c r="A257" s="68" t="str">
        <f t="shared" si="4"/>
        <v>702004503133M CANADA COMPANY</v>
      </c>
      <c r="B257" s="69">
        <v>70200450313</v>
      </c>
      <c r="C257" s="68" t="s">
        <v>74</v>
      </c>
      <c r="D257" s="68">
        <v>3005909000</v>
      </c>
      <c r="E257" s="68">
        <v>20233167</v>
      </c>
      <c r="F257" s="70" t="s">
        <v>67</v>
      </c>
      <c r="G257" s="71">
        <v>48421</v>
      </c>
      <c r="H257" s="70" t="s">
        <v>45</v>
      </c>
      <c r="I257" s="70" t="s">
        <v>68</v>
      </c>
      <c r="J257" s="94">
        <v>4.6100000000000002E-2</v>
      </c>
      <c r="K257" s="94" t="s">
        <v>36</v>
      </c>
      <c r="L257" s="92" t="s">
        <v>69</v>
      </c>
      <c r="M257" s="95" t="s">
        <v>46</v>
      </c>
      <c r="N257" s="92">
        <v>2680425</v>
      </c>
      <c r="O257" s="75" t="s">
        <v>711</v>
      </c>
      <c r="P257" s="76" t="s">
        <v>712</v>
      </c>
      <c r="Q257" s="172">
        <v>46252</v>
      </c>
      <c r="R257" s="77">
        <v>46436</v>
      </c>
      <c r="S257" s="176">
        <v>46238</v>
      </c>
      <c r="T257" s="78">
        <v>46244</v>
      </c>
      <c r="U257" s="78">
        <v>46244</v>
      </c>
      <c r="V257" s="79" t="s">
        <v>41</v>
      </c>
      <c r="W257" s="79" t="s">
        <v>32</v>
      </c>
      <c r="X257" s="80" t="s">
        <v>41</v>
      </c>
      <c r="Y257" s="76" t="s">
        <v>32</v>
      </c>
      <c r="Z257" s="68"/>
      <c r="AA257" s="70" t="s">
        <v>43</v>
      </c>
      <c r="AB257" s="99" t="e">
        <f>+VLOOKUP(A257,'[1]VALID RIM NUEVAM'!A$1:O$65536,15,0)</f>
        <v>#N/A</v>
      </c>
      <c r="AC257" s="70" t="s">
        <v>43</v>
      </c>
      <c r="AD257" s="70">
        <v>2559339</v>
      </c>
      <c r="AE257" s="70" t="s">
        <v>73</v>
      </c>
    </row>
    <row r="258" spans="1:31" ht="60">
      <c r="A258" s="68" t="str">
        <f t="shared" si="4"/>
        <v>XX100092426ICHEMCO SRL</v>
      </c>
      <c r="B258" s="69" t="s">
        <v>147</v>
      </c>
      <c r="C258" s="68" t="s">
        <v>148</v>
      </c>
      <c r="D258" s="68" t="s">
        <v>149</v>
      </c>
      <c r="E258" s="68" t="s">
        <v>32</v>
      </c>
      <c r="F258" s="70" t="s">
        <v>132</v>
      </c>
      <c r="G258" s="71" t="s">
        <v>32</v>
      </c>
      <c r="H258" s="70" t="s">
        <v>108</v>
      </c>
      <c r="I258" s="70" t="s">
        <v>150</v>
      </c>
      <c r="J258" s="86">
        <v>77.5</v>
      </c>
      <c r="K258" s="72" t="s">
        <v>124</v>
      </c>
      <c r="L258" s="73" t="s">
        <v>125</v>
      </c>
      <c r="M258" s="73" t="s">
        <v>151</v>
      </c>
      <c r="N258" s="74">
        <v>2682799</v>
      </c>
      <c r="O258" s="75" t="s">
        <v>713</v>
      </c>
      <c r="P258" s="76" t="s">
        <v>714</v>
      </c>
      <c r="Q258" s="172">
        <v>46252</v>
      </c>
      <c r="R258" s="77">
        <v>46436</v>
      </c>
      <c r="S258" s="176">
        <v>46244</v>
      </c>
      <c r="T258" s="78">
        <v>46246</v>
      </c>
      <c r="U258" s="78">
        <v>46246</v>
      </c>
      <c r="V258" s="79" t="s">
        <v>41</v>
      </c>
      <c r="W258" s="79" t="s">
        <v>32</v>
      </c>
      <c r="X258" s="80" t="s">
        <v>41</v>
      </c>
      <c r="Y258" s="76" t="s">
        <v>32</v>
      </c>
      <c r="Z258" s="68"/>
      <c r="AA258" s="70" t="s">
        <v>43</v>
      </c>
      <c r="AB258" s="107" t="e">
        <f>+VLOOKUP(A258,'[1]VALID RIM NUEVAM'!A$1:O$65536,15,0)</f>
        <v>#N/A</v>
      </c>
      <c r="AC258" s="70" t="s">
        <v>43</v>
      </c>
      <c r="AD258" s="70">
        <v>2565608</v>
      </c>
      <c r="AE258" s="70" t="s">
        <v>155</v>
      </c>
    </row>
    <row r="259" spans="1:31" ht="30">
      <c r="A259" s="68" t="str">
        <f t="shared" si="4"/>
        <v>HB0048288343M DO BRASIL LTDA</v>
      </c>
      <c r="B259" s="69" t="s">
        <v>156</v>
      </c>
      <c r="C259" s="68"/>
      <c r="D259" s="68">
        <v>3909500000</v>
      </c>
      <c r="E259" s="68" t="s">
        <v>32</v>
      </c>
      <c r="F259" s="70" t="s">
        <v>157</v>
      </c>
      <c r="G259" s="71" t="s">
        <v>32</v>
      </c>
      <c r="H259" s="70" t="s">
        <v>108</v>
      </c>
      <c r="I259" s="70" t="s">
        <v>94</v>
      </c>
      <c r="J259" s="72">
        <v>24.45</v>
      </c>
      <c r="K259" s="72" t="s">
        <v>36</v>
      </c>
      <c r="L259" s="73" t="s">
        <v>95</v>
      </c>
      <c r="M259" s="73" t="s">
        <v>158</v>
      </c>
      <c r="N259" s="74">
        <v>2682825</v>
      </c>
      <c r="O259" s="75" t="s">
        <v>715</v>
      </c>
      <c r="P259" s="76" t="s">
        <v>716</v>
      </c>
      <c r="Q259" s="172">
        <v>46253</v>
      </c>
      <c r="R259" s="77">
        <v>46437</v>
      </c>
      <c r="S259" s="176">
        <v>46244</v>
      </c>
      <c r="T259" s="78">
        <v>46248</v>
      </c>
      <c r="U259" s="78">
        <v>46248</v>
      </c>
      <c r="V259" s="79" t="s">
        <v>41</v>
      </c>
      <c r="W259" s="79" t="s">
        <v>32</v>
      </c>
      <c r="X259" s="80" t="s">
        <v>41</v>
      </c>
      <c r="Y259" s="76" t="s">
        <v>32</v>
      </c>
      <c r="Z259" s="68"/>
      <c r="AA259" s="70" t="s">
        <v>43</v>
      </c>
      <c r="AB259" s="107" t="e">
        <f>+VLOOKUP(A259,'[1]VALID RIM NUEVAM'!A$1:O$65536,15,0)</f>
        <v>#N/A</v>
      </c>
      <c r="AC259" s="70" t="s">
        <v>43</v>
      </c>
      <c r="AD259" s="70"/>
      <c r="AE259" s="70"/>
    </row>
    <row r="260" spans="1:31" ht="375">
      <c r="A260" s="117" t="str">
        <f t="shared" si="4"/>
        <v>700716837783M COMPANY</v>
      </c>
      <c r="B260" s="118">
        <v>70071683778</v>
      </c>
      <c r="C260" s="117" t="s">
        <v>717</v>
      </c>
      <c r="D260" s="117">
        <v>3402500000</v>
      </c>
      <c r="E260" s="117" t="s">
        <v>32</v>
      </c>
      <c r="F260" s="119" t="s">
        <v>718</v>
      </c>
      <c r="G260" s="120" t="s">
        <v>32</v>
      </c>
      <c r="H260" s="119" t="s">
        <v>719</v>
      </c>
      <c r="I260" s="119" t="s">
        <v>35</v>
      </c>
      <c r="J260" s="72">
        <v>104.86</v>
      </c>
      <c r="K260" s="72" t="s">
        <v>36</v>
      </c>
      <c r="L260" s="73" t="s">
        <v>37</v>
      </c>
      <c r="M260" s="73" t="s">
        <v>431</v>
      </c>
      <c r="N260" s="74">
        <v>2683865</v>
      </c>
      <c r="O260" s="121" t="s">
        <v>720</v>
      </c>
      <c r="P260" s="122" t="s">
        <v>721</v>
      </c>
      <c r="Q260" s="174">
        <v>46253</v>
      </c>
      <c r="R260" s="123">
        <v>46437</v>
      </c>
      <c r="S260" s="178">
        <v>46246</v>
      </c>
      <c r="T260" s="124">
        <v>46247</v>
      </c>
      <c r="U260" s="124">
        <v>46248</v>
      </c>
      <c r="V260" s="125" t="s">
        <v>722</v>
      </c>
      <c r="W260" s="125" t="s">
        <v>723</v>
      </c>
      <c r="X260" s="126" t="s">
        <v>41</v>
      </c>
      <c r="Y260" s="122" t="s">
        <v>32</v>
      </c>
      <c r="Z260" s="117"/>
      <c r="AA260" s="119" t="s">
        <v>43</v>
      </c>
      <c r="AB260" s="107" t="e">
        <f>+VLOOKUP(A260,'[1]VALID RIM NUEVAM'!A$1:O$65536,15,0)</f>
        <v>#N/A</v>
      </c>
      <c r="AC260" s="119"/>
      <c r="AD260" s="119"/>
      <c r="AE260" s="119"/>
    </row>
    <row r="261" spans="1:31" ht="90">
      <c r="A261" s="68" t="str">
        <f t="shared" si="4"/>
        <v>UU012776421MELEC, SHANGHAI JIAMENG INTERNATIONAL TRADING COMPANY LTD</v>
      </c>
      <c r="B261" s="69" t="s">
        <v>724</v>
      </c>
      <c r="C261" s="68" t="s">
        <v>725</v>
      </c>
      <c r="D261" s="68">
        <v>8535909000</v>
      </c>
      <c r="E261" s="68" t="s">
        <v>32</v>
      </c>
      <c r="F261" s="70">
        <v>3963</v>
      </c>
      <c r="G261" s="71" t="s">
        <v>726</v>
      </c>
      <c r="H261" s="70" t="s">
        <v>122</v>
      </c>
      <c r="I261" s="70" t="s">
        <v>727</v>
      </c>
      <c r="J261" s="72">
        <v>3.73</v>
      </c>
      <c r="K261" s="72" t="s">
        <v>36</v>
      </c>
      <c r="L261" s="73" t="s">
        <v>222</v>
      </c>
      <c r="M261" s="73" t="s">
        <v>46</v>
      </c>
      <c r="N261" s="74">
        <v>2689643</v>
      </c>
      <c r="O261" s="75" t="s">
        <v>728</v>
      </c>
      <c r="P261" s="76" t="s">
        <v>729</v>
      </c>
      <c r="Q261" s="172">
        <v>46269</v>
      </c>
      <c r="R261" s="77">
        <v>46444</v>
      </c>
      <c r="S261" s="176">
        <v>46259</v>
      </c>
      <c r="T261" s="78">
        <v>46266</v>
      </c>
      <c r="U261" s="78">
        <v>46267</v>
      </c>
      <c r="V261" s="79" t="s">
        <v>41</v>
      </c>
      <c r="W261" s="79" t="s">
        <v>32</v>
      </c>
      <c r="X261" s="80" t="s">
        <v>41</v>
      </c>
      <c r="Y261" s="76" t="s">
        <v>32</v>
      </c>
      <c r="Z261" s="68"/>
      <c r="AA261" s="70" t="s">
        <v>43</v>
      </c>
      <c r="AB261" s="73" t="e">
        <f>+VLOOKUP(A261,'[1]VALID RIM NUEVAM'!A$1:O$65536,15,0)</f>
        <v>#N/A</v>
      </c>
      <c r="AC261" s="70"/>
      <c r="AD261" s="70"/>
      <c r="AE261" s="70"/>
    </row>
    <row r="262" spans="1:31" ht="90">
      <c r="A262" s="68" t="str">
        <f t="shared" si="4"/>
        <v>UU012766901MELEC, SHANGHAI JIAMENG INTERNATIONAL TRADING COMPANY LTD</v>
      </c>
      <c r="B262" s="69" t="s">
        <v>730</v>
      </c>
      <c r="C262" s="68" t="s">
        <v>731</v>
      </c>
      <c r="D262" s="68">
        <v>8535909000</v>
      </c>
      <c r="E262" s="68" t="s">
        <v>32</v>
      </c>
      <c r="F262" s="70">
        <v>3963</v>
      </c>
      <c r="G262" s="71" t="s">
        <v>726</v>
      </c>
      <c r="H262" s="70" t="s">
        <v>122</v>
      </c>
      <c r="I262" s="70" t="s">
        <v>727</v>
      </c>
      <c r="J262" s="72">
        <v>5.01</v>
      </c>
      <c r="K262" s="72" t="s">
        <v>36</v>
      </c>
      <c r="L262" s="73" t="s">
        <v>222</v>
      </c>
      <c r="M262" s="73" t="s">
        <v>46</v>
      </c>
      <c r="N262" s="74">
        <v>2689643</v>
      </c>
      <c r="O262" s="75" t="s">
        <v>728</v>
      </c>
      <c r="P262" s="76" t="s">
        <v>729</v>
      </c>
      <c r="Q262" s="172">
        <v>46269</v>
      </c>
      <c r="R262" s="77">
        <v>46444</v>
      </c>
      <c r="S262" s="176">
        <v>46259</v>
      </c>
      <c r="T262" s="78">
        <v>46266</v>
      </c>
      <c r="U262" s="78">
        <v>46267</v>
      </c>
      <c r="V262" s="79" t="s">
        <v>41</v>
      </c>
      <c r="W262" s="79" t="s">
        <v>32</v>
      </c>
      <c r="X262" s="80" t="s">
        <v>41</v>
      </c>
      <c r="Y262" s="76" t="s">
        <v>32</v>
      </c>
      <c r="Z262" s="68"/>
      <c r="AA262" s="70" t="s">
        <v>43</v>
      </c>
      <c r="AB262" s="73" t="e">
        <f>+VLOOKUP(A262,'[1]VALID RIM NUEVAM'!A$1:O$65536,15,0)</f>
        <v>#N/A</v>
      </c>
      <c r="AC262" s="70"/>
      <c r="AD262" s="70"/>
      <c r="AE262" s="70"/>
    </row>
    <row r="263" spans="1:31" ht="90">
      <c r="A263" s="68" t="str">
        <f t="shared" si="4"/>
        <v>UU012777718MELEC, SHANGHAI JIAMENG INTERNATIONAL TRADING COMPANY LTD</v>
      </c>
      <c r="B263" s="69" t="s">
        <v>732</v>
      </c>
      <c r="C263" s="68" t="s">
        <v>733</v>
      </c>
      <c r="D263" s="68">
        <v>8535909000</v>
      </c>
      <c r="E263" s="68" t="s">
        <v>32</v>
      </c>
      <c r="F263" s="70">
        <v>3963</v>
      </c>
      <c r="G263" s="71" t="s">
        <v>726</v>
      </c>
      <c r="H263" s="70" t="s">
        <v>122</v>
      </c>
      <c r="I263" s="70" t="s">
        <v>727</v>
      </c>
      <c r="J263" s="72">
        <v>10</v>
      </c>
      <c r="K263" s="72" t="s">
        <v>36</v>
      </c>
      <c r="L263" s="73" t="s">
        <v>222</v>
      </c>
      <c r="M263" s="73" t="s">
        <v>46</v>
      </c>
      <c r="N263" s="74">
        <v>2689643</v>
      </c>
      <c r="O263" s="75" t="s">
        <v>728</v>
      </c>
      <c r="P263" s="76" t="s">
        <v>729</v>
      </c>
      <c r="Q263" s="172">
        <v>46269</v>
      </c>
      <c r="R263" s="77">
        <v>46444</v>
      </c>
      <c r="S263" s="176">
        <v>46259</v>
      </c>
      <c r="T263" s="78">
        <v>46266</v>
      </c>
      <c r="U263" s="78">
        <v>46267</v>
      </c>
      <c r="V263" s="79" t="s">
        <v>41</v>
      </c>
      <c r="W263" s="79" t="s">
        <v>32</v>
      </c>
      <c r="X263" s="80" t="s">
        <v>41</v>
      </c>
      <c r="Y263" s="76" t="s">
        <v>32</v>
      </c>
      <c r="Z263" s="68"/>
      <c r="AA263" s="70" t="s">
        <v>43</v>
      </c>
      <c r="AB263" s="73" t="e">
        <f>+VLOOKUP(A263,'[1]VALID RIM NUEVAM'!A$1:O$65536,15,0)</f>
        <v>#N/A</v>
      </c>
      <c r="AC263" s="70"/>
      <c r="AD263" s="70"/>
      <c r="AE263" s="70"/>
    </row>
    <row r="264" spans="1:31" ht="90">
      <c r="A264" s="68" t="str">
        <f t="shared" si="4"/>
        <v>UU012777734MELEC, SHANGHAI JIAMENG INTERNATIONAL TRADING COMPANY LTD</v>
      </c>
      <c r="B264" s="69" t="s">
        <v>734</v>
      </c>
      <c r="C264" s="68" t="s">
        <v>735</v>
      </c>
      <c r="D264" s="68">
        <v>8535909000</v>
      </c>
      <c r="E264" s="68" t="s">
        <v>32</v>
      </c>
      <c r="F264" s="70">
        <v>3963</v>
      </c>
      <c r="G264" s="71" t="s">
        <v>726</v>
      </c>
      <c r="H264" s="70" t="s">
        <v>122</v>
      </c>
      <c r="I264" s="70" t="s">
        <v>727</v>
      </c>
      <c r="J264" s="72">
        <v>16.88</v>
      </c>
      <c r="K264" s="72" t="s">
        <v>36</v>
      </c>
      <c r="L264" s="73" t="s">
        <v>222</v>
      </c>
      <c r="M264" s="73" t="s">
        <v>46</v>
      </c>
      <c r="N264" s="74">
        <v>2689643</v>
      </c>
      <c r="O264" s="75" t="s">
        <v>728</v>
      </c>
      <c r="P264" s="76" t="s">
        <v>729</v>
      </c>
      <c r="Q264" s="172">
        <v>46269</v>
      </c>
      <c r="R264" s="77">
        <v>46444</v>
      </c>
      <c r="S264" s="176">
        <v>46259</v>
      </c>
      <c r="T264" s="78">
        <v>46266</v>
      </c>
      <c r="U264" s="78">
        <v>46267</v>
      </c>
      <c r="V264" s="79" t="s">
        <v>41</v>
      </c>
      <c r="W264" s="79" t="s">
        <v>32</v>
      </c>
      <c r="X264" s="80" t="s">
        <v>41</v>
      </c>
      <c r="Y264" s="76" t="s">
        <v>32</v>
      </c>
      <c r="Z264" s="68"/>
      <c r="AA264" s="70" t="s">
        <v>43</v>
      </c>
      <c r="AB264" s="73" t="e">
        <f>+VLOOKUP(A264,'[1]VALID RIM NUEVAM'!A$1:O$65536,15,0)</f>
        <v>#N/A</v>
      </c>
      <c r="AC264" s="70"/>
      <c r="AD264" s="70"/>
      <c r="AE264" s="70"/>
    </row>
    <row r="265" spans="1:31" ht="90">
      <c r="A265" s="68" t="str">
        <f t="shared" si="4"/>
        <v>UU012777767MELEC, SHANGHAI JIAMENG INTERNATIONAL TRADING COMPANY LTD</v>
      </c>
      <c r="B265" s="69" t="s">
        <v>736</v>
      </c>
      <c r="C265" s="68" t="s">
        <v>737</v>
      </c>
      <c r="D265" s="68">
        <v>8535909000</v>
      </c>
      <c r="E265" s="68" t="s">
        <v>32</v>
      </c>
      <c r="F265" s="70">
        <v>3963</v>
      </c>
      <c r="G265" s="71" t="s">
        <v>726</v>
      </c>
      <c r="H265" s="70" t="s">
        <v>122</v>
      </c>
      <c r="I265" s="70" t="s">
        <v>727</v>
      </c>
      <c r="J265" s="72">
        <v>3.31</v>
      </c>
      <c r="K265" s="72" t="s">
        <v>36</v>
      </c>
      <c r="L265" s="73" t="s">
        <v>222</v>
      </c>
      <c r="M265" s="73" t="s">
        <v>46</v>
      </c>
      <c r="N265" s="74">
        <v>2689643</v>
      </c>
      <c r="O265" s="75" t="s">
        <v>728</v>
      </c>
      <c r="P265" s="76" t="s">
        <v>729</v>
      </c>
      <c r="Q265" s="172">
        <v>46269</v>
      </c>
      <c r="R265" s="77">
        <v>46444</v>
      </c>
      <c r="S265" s="176">
        <v>46259</v>
      </c>
      <c r="T265" s="78">
        <v>46266</v>
      </c>
      <c r="U265" s="78">
        <v>46267</v>
      </c>
      <c r="V265" s="79" t="s">
        <v>41</v>
      </c>
      <c r="W265" s="79" t="s">
        <v>32</v>
      </c>
      <c r="X265" s="80" t="s">
        <v>41</v>
      </c>
      <c r="Y265" s="76" t="s">
        <v>32</v>
      </c>
      <c r="Z265" s="68"/>
      <c r="AA265" s="70" t="s">
        <v>43</v>
      </c>
      <c r="AB265" s="73" t="e">
        <f>+VLOOKUP(A265,'[1]VALID RIM NUEVAM'!A$1:O$65536,15,0)</f>
        <v>#N/A</v>
      </c>
      <c r="AC265" s="70"/>
      <c r="AD265" s="70"/>
      <c r="AE265" s="70"/>
    </row>
    <row r="266" spans="1:31" ht="90">
      <c r="A266" s="68" t="str">
        <f t="shared" si="4"/>
        <v>UU012777775MELEC, SHANGHAI JIAMENG INTERNATIONAL TRADING COMPANY LTD</v>
      </c>
      <c r="B266" s="69" t="s">
        <v>738</v>
      </c>
      <c r="C266" s="68" t="s">
        <v>739</v>
      </c>
      <c r="D266" s="68">
        <v>8535909000</v>
      </c>
      <c r="E266" s="68" t="s">
        <v>32</v>
      </c>
      <c r="F266" s="70">
        <v>3963</v>
      </c>
      <c r="G266" s="71" t="s">
        <v>726</v>
      </c>
      <c r="H266" s="70" t="s">
        <v>122</v>
      </c>
      <c r="I266" s="70" t="s">
        <v>727</v>
      </c>
      <c r="J266" s="72">
        <v>4.6399999999999997</v>
      </c>
      <c r="K266" s="72" t="s">
        <v>36</v>
      </c>
      <c r="L266" s="73" t="s">
        <v>222</v>
      </c>
      <c r="M266" s="73" t="s">
        <v>46</v>
      </c>
      <c r="N266" s="74">
        <v>2689643</v>
      </c>
      <c r="O266" s="75" t="s">
        <v>728</v>
      </c>
      <c r="P266" s="76" t="s">
        <v>729</v>
      </c>
      <c r="Q266" s="172">
        <v>46269</v>
      </c>
      <c r="R266" s="77">
        <v>46444</v>
      </c>
      <c r="S266" s="176">
        <v>46259</v>
      </c>
      <c r="T266" s="78">
        <v>46266</v>
      </c>
      <c r="U266" s="78">
        <v>46267</v>
      </c>
      <c r="V266" s="79" t="s">
        <v>41</v>
      </c>
      <c r="W266" s="79" t="s">
        <v>32</v>
      </c>
      <c r="X266" s="80" t="s">
        <v>41</v>
      </c>
      <c r="Y266" s="76" t="s">
        <v>32</v>
      </c>
      <c r="Z266" s="68"/>
      <c r="AA266" s="70" t="s">
        <v>43</v>
      </c>
      <c r="AB266" s="73" t="e">
        <f>+VLOOKUP(A266,'[1]VALID RIM NUEVAM'!A$1:O$65536,15,0)</f>
        <v>#N/A</v>
      </c>
      <c r="AC266" s="70"/>
      <c r="AD266" s="70"/>
      <c r="AE266" s="70"/>
    </row>
    <row r="267" spans="1:31" ht="90">
      <c r="A267" s="68" t="str">
        <f t="shared" si="4"/>
        <v>UU012777809MELEC, SHANGHAI JIAMENG INTERNATIONAL TRADING COMPANY LTD</v>
      </c>
      <c r="B267" s="69" t="s">
        <v>740</v>
      </c>
      <c r="C267" s="68" t="s">
        <v>741</v>
      </c>
      <c r="D267" s="68">
        <v>8535909000</v>
      </c>
      <c r="E267" s="68" t="s">
        <v>32</v>
      </c>
      <c r="F267" s="70">
        <v>3963</v>
      </c>
      <c r="G267" s="71" t="s">
        <v>726</v>
      </c>
      <c r="H267" s="70" t="s">
        <v>122</v>
      </c>
      <c r="I267" s="70" t="s">
        <v>727</v>
      </c>
      <c r="J267" s="72">
        <v>8.1199999999999992</v>
      </c>
      <c r="K267" s="72" t="s">
        <v>36</v>
      </c>
      <c r="L267" s="73" t="s">
        <v>222</v>
      </c>
      <c r="M267" s="73" t="s">
        <v>46</v>
      </c>
      <c r="N267" s="74">
        <v>2689643</v>
      </c>
      <c r="O267" s="75" t="s">
        <v>728</v>
      </c>
      <c r="P267" s="76" t="s">
        <v>729</v>
      </c>
      <c r="Q267" s="172">
        <v>46269</v>
      </c>
      <c r="R267" s="77">
        <v>46444</v>
      </c>
      <c r="S267" s="176">
        <v>46259</v>
      </c>
      <c r="T267" s="78">
        <v>46266</v>
      </c>
      <c r="U267" s="78">
        <v>46267</v>
      </c>
      <c r="V267" s="79" t="s">
        <v>41</v>
      </c>
      <c r="W267" s="79" t="s">
        <v>32</v>
      </c>
      <c r="X267" s="80" t="s">
        <v>41</v>
      </c>
      <c r="Y267" s="76" t="s">
        <v>32</v>
      </c>
      <c r="Z267" s="68"/>
      <c r="AA267" s="70" t="s">
        <v>43</v>
      </c>
      <c r="AB267" s="73" t="e">
        <f>+VLOOKUP(A267,'[1]VALID RIM NUEVAM'!A$1:O$65536,15,0)</f>
        <v>#N/A</v>
      </c>
      <c r="AC267" s="70"/>
      <c r="AD267" s="70"/>
      <c r="AE267" s="70"/>
    </row>
    <row r="268" spans="1:31" ht="90">
      <c r="A268" s="68" t="str">
        <f t="shared" si="4"/>
        <v>UU012778310MELEC, SHANGHAI JIAMENG INTERNATIONAL TRADING COMPANY LTD</v>
      </c>
      <c r="B268" s="69" t="s">
        <v>742</v>
      </c>
      <c r="C268" s="68" t="s">
        <v>743</v>
      </c>
      <c r="D268" s="68">
        <v>8535909000</v>
      </c>
      <c r="E268" s="68" t="s">
        <v>32</v>
      </c>
      <c r="F268" s="70">
        <v>3963</v>
      </c>
      <c r="G268" s="71" t="s">
        <v>726</v>
      </c>
      <c r="H268" s="70" t="s">
        <v>122</v>
      </c>
      <c r="I268" s="70" t="s">
        <v>727</v>
      </c>
      <c r="J268" s="72">
        <v>15.59</v>
      </c>
      <c r="K268" s="72" t="s">
        <v>36</v>
      </c>
      <c r="L268" s="73" t="s">
        <v>222</v>
      </c>
      <c r="M268" s="73" t="s">
        <v>46</v>
      </c>
      <c r="N268" s="74">
        <v>2689643</v>
      </c>
      <c r="O268" s="75" t="s">
        <v>728</v>
      </c>
      <c r="P268" s="76" t="s">
        <v>729</v>
      </c>
      <c r="Q268" s="172">
        <v>46269</v>
      </c>
      <c r="R268" s="77">
        <v>46444</v>
      </c>
      <c r="S268" s="176">
        <v>46259</v>
      </c>
      <c r="T268" s="78">
        <v>46266</v>
      </c>
      <c r="U268" s="78">
        <v>46267</v>
      </c>
      <c r="V268" s="79" t="s">
        <v>41</v>
      </c>
      <c r="W268" s="79" t="s">
        <v>32</v>
      </c>
      <c r="X268" s="80" t="s">
        <v>41</v>
      </c>
      <c r="Y268" s="76" t="s">
        <v>32</v>
      </c>
      <c r="Z268" s="68"/>
      <c r="AA268" s="70" t="s">
        <v>43</v>
      </c>
      <c r="AB268" s="73" t="e">
        <f>+VLOOKUP(A268,'[1]VALID RIM NUEVAM'!A$1:O$65536,15,0)</f>
        <v>#N/A</v>
      </c>
      <c r="AC268" s="70"/>
      <c r="AD268" s="70"/>
      <c r="AE268" s="70"/>
    </row>
    <row r="269" spans="1:31" ht="90">
      <c r="A269" s="68" t="str">
        <f t="shared" si="4"/>
        <v>UU013687619MELEC, SHANGHAI JIAMENG INTERNATIONAL TRADING COMPANY LTD</v>
      </c>
      <c r="B269" s="69" t="s">
        <v>744</v>
      </c>
      <c r="C269" s="68" t="s">
        <v>745</v>
      </c>
      <c r="D269" s="68"/>
      <c r="E269" s="68" t="s">
        <v>32</v>
      </c>
      <c r="F269" s="70">
        <v>3963</v>
      </c>
      <c r="G269" s="71" t="s">
        <v>726</v>
      </c>
      <c r="H269" s="70" t="s">
        <v>122</v>
      </c>
      <c r="I269" s="70" t="s">
        <v>727</v>
      </c>
      <c r="J269" s="72">
        <v>4.09</v>
      </c>
      <c r="K269" s="72" t="s">
        <v>36</v>
      </c>
      <c r="L269" s="73" t="s">
        <v>222</v>
      </c>
      <c r="M269" s="73" t="s">
        <v>46</v>
      </c>
      <c r="N269" s="74">
        <v>2689643</v>
      </c>
      <c r="O269" s="75" t="s">
        <v>728</v>
      </c>
      <c r="P269" s="76" t="s">
        <v>729</v>
      </c>
      <c r="Q269" s="172">
        <v>46269</v>
      </c>
      <c r="R269" s="77">
        <v>46444</v>
      </c>
      <c r="S269" s="176">
        <v>46259</v>
      </c>
      <c r="T269" s="78">
        <v>46266</v>
      </c>
      <c r="U269" s="78">
        <v>46267</v>
      </c>
      <c r="V269" s="79" t="s">
        <v>41</v>
      </c>
      <c r="W269" s="79" t="s">
        <v>32</v>
      </c>
      <c r="X269" s="80" t="s">
        <v>41</v>
      </c>
      <c r="Y269" s="76" t="s">
        <v>32</v>
      </c>
      <c r="Z269" s="68"/>
      <c r="AA269" s="70" t="s">
        <v>43</v>
      </c>
      <c r="AB269" s="73" t="e">
        <f>+VLOOKUP(A269,'[1]VALID RIM NUEVAM'!A$1:O$65536,15,0)</f>
        <v>#N/A</v>
      </c>
      <c r="AC269" s="70"/>
      <c r="AD269" s="70"/>
      <c r="AE269" s="70"/>
    </row>
    <row r="270" spans="1:31" ht="90">
      <c r="A270" s="68" t="str">
        <f t="shared" si="4"/>
        <v>UU013687627MELEC, SHANGHAI JIAMENG INTERNATIONAL TRADING COMPANY LTD</v>
      </c>
      <c r="B270" s="69" t="s">
        <v>746</v>
      </c>
      <c r="C270" s="68" t="s">
        <v>747</v>
      </c>
      <c r="D270" s="68"/>
      <c r="E270" s="68" t="s">
        <v>32</v>
      </c>
      <c r="F270" s="70">
        <v>3963</v>
      </c>
      <c r="G270" s="71" t="s">
        <v>726</v>
      </c>
      <c r="H270" s="70" t="s">
        <v>122</v>
      </c>
      <c r="I270" s="70" t="s">
        <v>727</v>
      </c>
      <c r="J270" s="72">
        <v>5.76</v>
      </c>
      <c r="K270" s="72" t="s">
        <v>36</v>
      </c>
      <c r="L270" s="73" t="s">
        <v>222</v>
      </c>
      <c r="M270" s="73" t="s">
        <v>46</v>
      </c>
      <c r="N270" s="74">
        <v>2689643</v>
      </c>
      <c r="O270" s="75" t="s">
        <v>728</v>
      </c>
      <c r="P270" s="76" t="s">
        <v>729</v>
      </c>
      <c r="Q270" s="172">
        <v>46269</v>
      </c>
      <c r="R270" s="77">
        <v>46444</v>
      </c>
      <c r="S270" s="176">
        <v>46259</v>
      </c>
      <c r="T270" s="78">
        <v>46266</v>
      </c>
      <c r="U270" s="78">
        <v>46267</v>
      </c>
      <c r="V270" s="79" t="s">
        <v>41</v>
      </c>
      <c r="W270" s="79" t="s">
        <v>32</v>
      </c>
      <c r="X270" s="80" t="s">
        <v>41</v>
      </c>
      <c r="Y270" s="76" t="s">
        <v>32</v>
      </c>
      <c r="Z270" s="68"/>
      <c r="AA270" s="70" t="s">
        <v>43</v>
      </c>
      <c r="AB270" s="73" t="e">
        <f>+VLOOKUP(A270,'[1]VALID RIM NUEVAM'!A$1:O$65536,15,0)</f>
        <v>#N/A</v>
      </c>
      <c r="AC270" s="70"/>
      <c r="AD270" s="70"/>
      <c r="AE270" s="70"/>
    </row>
    <row r="271" spans="1:31" ht="90">
      <c r="A271" s="68" t="str">
        <f t="shared" si="4"/>
        <v>UU013687635MELEC, SHANGHAI JIAMENG INTERNATIONAL TRADING COMPANY LTD</v>
      </c>
      <c r="B271" s="69" t="s">
        <v>748</v>
      </c>
      <c r="C271" s="68" t="s">
        <v>749</v>
      </c>
      <c r="D271" s="68"/>
      <c r="E271" s="68" t="s">
        <v>32</v>
      </c>
      <c r="F271" s="70">
        <v>3963</v>
      </c>
      <c r="G271" s="71" t="s">
        <v>726</v>
      </c>
      <c r="H271" s="70" t="s">
        <v>122</v>
      </c>
      <c r="I271" s="70" t="s">
        <v>727</v>
      </c>
      <c r="J271" s="72">
        <v>11.07</v>
      </c>
      <c r="K271" s="72" t="s">
        <v>36</v>
      </c>
      <c r="L271" s="73" t="s">
        <v>222</v>
      </c>
      <c r="M271" s="73" t="s">
        <v>46</v>
      </c>
      <c r="N271" s="74">
        <v>2689643</v>
      </c>
      <c r="O271" s="75" t="s">
        <v>728</v>
      </c>
      <c r="P271" s="76" t="s">
        <v>729</v>
      </c>
      <c r="Q271" s="172">
        <v>46269</v>
      </c>
      <c r="R271" s="77">
        <v>46444</v>
      </c>
      <c r="S271" s="176">
        <v>46259</v>
      </c>
      <c r="T271" s="78">
        <v>46266</v>
      </c>
      <c r="U271" s="78">
        <v>46267</v>
      </c>
      <c r="V271" s="79" t="s">
        <v>41</v>
      </c>
      <c r="W271" s="79" t="s">
        <v>32</v>
      </c>
      <c r="X271" s="80" t="s">
        <v>41</v>
      </c>
      <c r="Y271" s="76" t="s">
        <v>32</v>
      </c>
      <c r="Z271" s="68"/>
      <c r="AA271" s="70" t="s">
        <v>43</v>
      </c>
      <c r="AB271" s="73" t="e">
        <f>+VLOOKUP(A271,'[1]VALID RIM NUEVAM'!A$1:O$65536,15,0)</f>
        <v>#N/A</v>
      </c>
      <c r="AC271" s="70"/>
      <c r="AD271" s="70"/>
      <c r="AE271" s="70"/>
    </row>
    <row r="272" spans="1:31" ht="90">
      <c r="A272" s="68" t="str">
        <f t="shared" si="4"/>
        <v>UU013687643MELEC, SHANGHAI JIAMENG INTERNATIONAL TRADING COMPANY LTD</v>
      </c>
      <c r="B272" s="69" t="s">
        <v>750</v>
      </c>
      <c r="C272" s="68" t="s">
        <v>751</v>
      </c>
      <c r="D272" s="68"/>
      <c r="E272" s="68" t="s">
        <v>32</v>
      </c>
      <c r="F272" s="70">
        <v>3963</v>
      </c>
      <c r="G272" s="71" t="s">
        <v>726</v>
      </c>
      <c r="H272" s="70" t="s">
        <v>122</v>
      </c>
      <c r="I272" s="70" t="s">
        <v>727</v>
      </c>
      <c r="J272" s="72">
        <v>11.07</v>
      </c>
      <c r="K272" s="72" t="s">
        <v>36</v>
      </c>
      <c r="L272" s="73" t="s">
        <v>222</v>
      </c>
      <c r="M272" s="73" t="s">
        <v>46</v>
      </c>
      <c r="N272" s="74">
        <v>2689643</v>
      </c>
      <c r="O272" s="75" t="s">
        <v>728</v>
      </c>
      <c r="P272" s="76" t="s">
        <v>729</v>
      </c>
      <c r="Q272" s="172">
        <v>46269</v>
      </c>
      <c r="R272" s="77">
        <v>46444</v>
      </c>
      <c r="S272" s="176">
        <v>46259</v>
      </c>
      <c r="T272" s="78">
        <v>46266</v>
      </c>
      <c r="U272" s="78">
        <v>46267</v>
      </c>
      <c r="V272" s="79" t="s">
        <v>41</v>
      </c>
      <c r="W272" s="79" t="s">
        <v>32</v>
      </c>
      <c r="X272" s="80" t="s">
        <v>41</v>
      </c>
      <c r="Y272" s="76" t="s">
        <v>32</v>
      </c>
      <c r="Z272" s="68"/>
      <c r="AA272" s="70" t="s">
        <v>43</v>
      </c>
      <c r="AB272" s="73" t="e">
        <f>+VLOOKUP(A272,'[1]VALID RIM NUEVAM'!A$1:O$65536,15,0)</f>
        <v>#N/A</v>
      </c>
      <c r="AC272" s="70"/>
      <c r="AD272" s="70"/>
      <c r="AE272" s="70"/>
    </row>
    <row r="273" spans="1:31" ht="90">
      <c r="A273" s="68" t="str">
        <f t="shared" si="4"/>
        <v>UU013687668MELEC, SHANGHAI JIAMENG INTERNATIONAL TRADING COMPANY LTD</v>
      </c>
      <c r="B273" s="69" t="s">
        <v>752</v>
      </c>
      <c r="C273" s="68" t="s">
        <v>753</v>
      </c>
      <c r="D273" s="68"/>
      <c r="E273" s="68" t="s">
        <v>32</v>
      </c>
      <c r="F273" s="70">
        <v>3963</v>
      </c>
      <c r="G273" s="71" t="s">
        <v>726</v>
      </c>
      <c r="H273" s="70" t="s">
        <v>122</v>
      </c>
      <c r="I273" s="70" t="s">
        <v>727</v>
      </c>
      <c r="J273" s="72">
        <v>20.96</v>
      </c>
      <c r="K273" s="72" t="s">
        <v>36</v>
      </c>
      <c r="L273" s="73" t="s">
        <v>222</v>
      </c>
      <c r="M273" s="73" t="s">
        <v>46</v>
      </c>
      <c r="N273" s="74">
        <v>2689643</v>
      </c>
      <c r="O273" s="75" t="s">
        <v>728</v>
      </c>
      <c r="P273" s="76" t="s">
        <v>729</v>
      </c>
      <c r="Q273" s="172">
        <v>46269</v>
      </c>
      <c r="R273" s="77">
        <v>46444</v>
      </c>
      <c r="S273" s="176">
        <v>46259</v>
      </c>
      <c r="T273" s="78">
        <v>46266</v>
      </c>
      <c r="U273" s="78">
        <v>46267</v>
      </c>
      <c r="V273" s="79" t="s">
        <v>41</v>
      </c>
      <c r="W273" s="79" t="s">
        <v>32</v>
      </c>
      <c r="X273" s="80" t="s">
        <v>41</v>
      </c>
      <c r="Y273" s="76" t="s">
        <v>32</v>
      </c>
      <c r="Z273" s="68"/>
      <c r="AA273" s="70" t="s">
        <v>43</v>
      </c>
      <c r="AB273" s="73" t="e">
        <f>+VLOOKUP(A273,'[1]VALID RIM NUEVAM'!A$1:O$65536,15,0)</f>
        <v>#N/A</v>
      </c>
      <c r="AC273" s="70"/>
      <c r="AD273" s="70"/>
      <c r="AE273" s="70"/>
    </row>
    <row r="274" spans="1:31" ht="90">
      <c r="A274" s="68" t="str">
        <f t="shared" si="4"/>
        <v>UU013687650MELEC, SHANGHAI JIAMENG INTERNATIONAL TRADING COMPANY LTD</v>
      </c>
      <c r="B274" s="69" t="s">
        <v>754</v>
      </c>
      <c r="C274" s="68" t="s">
        <v>755</v>
      </c>
      <c r="D274" s="68"/>
      <c r="E274" s="68" t="s">
        <v>32</v>
      </c>
      <c r="F274" s="70">
        <v>3963</v>
      </c>
      <c r="G274" s="71" t="s">
        <v>726</v>
      </c>
      <c r="H274" s="70" t="s">
        <v>122</v>
      </c>
      <c r="I274" s="70" t="s">
        <v>727</v>
      </c>
      <c r="J274" s="72">
        <v>20.96</v>
      </c>
      <c r="K274" s="72" t="s">
        <v>36</v>
      </c>
      <c r="L274" s="73" t="s">
        <v>222</v>
      </c>
      <c r="M274" s="73" t="s">
        <v>46</v>
      </c>
      <c r="N274" s="74">
        <v>2689643</v>
      </c>
      <c r="O274" s="75" t="s">
        <v>728</v>
      </c>
      <c r="P274" s="76" t="s">
        <v>729</v>
      </c>
      <c r="Q274" s="172">
        <v>46269</v>
      </c>
      <c r="R274" s="77">
        <v>46444</v>
      </c>
      <c r="S274" s="176">
        <v>46259</v>
      </c>
      <c r="T274" s="78">
        <v>46266</v>
      </c>
      <c r="U274" s="78">
        <v>46267</v>
      </c>
      <c r="V274" s="79" t="s">
        <v>41</v>
      </c>
      <c r="W274" s="79" t="s">
        <v>32</v>
      </c>
      <c r="X274" s="80" t="s">
        <v>41</v>
      </c>
      <c r="Y274" s="76" t="s">
        <v>32</v>
      </c>
      <c r="Z274" s="68"/>
      <c r="AA274" s="70" t="s">
        <v>43</v>
      </c>
      <c r="AB274" s="73" t="e">
        <f>+VLOOKUP(A274,'[1]VALID RIM NUEVAM'!A$1:O$65536,15,0)</f>
        <v>#N/A</v>
      </c>
      <c r="AC274" s="70"/>
      <c r="AD274" s="70"/>
      <c r="AE274" s="70"/>
    </row>
    <row r="275" spans="1:31" ht="30">
      <c r="A275" s="68" t="str">
        <f t="shared" si="4"/>
        <v>78810008769SIAT S.P.A</v>
      </c>
      <c r="B275" s="69">
        <v>78810008769</v>
      </c>
      <c r="C275" s="68" t="s">
        <v>32</v>
      </c>
      <c r="D275" s="68">
        <v>8422900000</v>
      </c>
      <c r="E275" s="68" t="s">
        <v>32</v>
      </c>
      <c r="F275" s="70" t="s">
        <v>435</v>
      </c>
      <c r="G275" s="71" t="s">
        <v>32</v>
      </c>
      <c r="H275" s="70" t="s">
        <v>170</v>
      </c>
      <c r="I275" s="70" t="s">
        <v>123</v>
      </c>
      <c r="J275" s="72">
        <v>24.06</v>
      </c>
      <c r="K275" s="72" t="s">
        <v>124</v>
      </c>
      <c r="L275" s="73" t="s">
        <v>125</v>
      </c>
      <c r="M275" s="73" t="s">
        <v>38</v>
      </c>
      <c r="N275" s="74">
        <v>2688334</v>
      </c>
      <c r="O275" s="75" t="s">
        <v>756</v>
      </c>
      <c r="P275" s="76" t="s">
        <v>757</v>
      </c>
      <c r="Q275" s="172">
        <v>46262</v>
      </c>
      <c r="R275" s="127">
        <v>46444</v>
      </c>
      <c r="S275" s="176">
        <v>46255</v>
      </c>
      <c r="T275" s="78">
        <v>46259</v>
      </c>
      <c r="U275" s="78">
        <v>46260</v>
      </c>
      <c r="V275" s="79" t="s">
        <v>41</v>
      </c>
      <c r="W275" s="79" t="s">
        <v>32</v>
      </c>
      <c r="X275" s="80" t="s">
        <v>41</v>
      </c>
      <c r="Y275" s="76" t="s">
        <v>32</v>
      </c>
      <c r="Z275" s="68"/>
      <c r="AA275" s="70" t="s">
        <v>43</v>
      </c>
      <c r="AB275" s="73" t="e">
        <f>+VLOOKUP(A275,'[1]VALID RIM NUEVAM'!A$1:O$65536,15,0)</f>
        <v>#N/A</v>
      </c>
      <c r="AC275" s="70"/>
      <c r="AD275" s="70"/>
      <c r="AE275" s="70"/>
    </row>
    <row r="276" spans="1:31" ht="30">
      <c r="A276" s="68" t="str">
        <f t="shared" si="4"/>
        <v>78810011300SIAT S.P.A</v>
      </c>
      <c r="B276" s="69">
        <v>78810011300</v>
      </c>
      <c r="C276" s="68" t="s">
        <v>32</v>
      </c>
      <c r="D276" s="68">
        <v>8422900000</v>
      </c>
      <c r="E276" s="68" t="s">
        <v>32</v>
      </c>
      <c r="F276" s="70" t="s">
        <v>435</v>
      </c>
      <c r="G276" s="71" t="s">
        <v>32</v>
      </c>
      <c r="H276" s="70" t="s">
        <v>170</v>
      </c>
      <c r="I276" s="70" t="s">
        <v>123</v>
      </c>
      <c r="J276" s="72">
        <v>6.99</v>
      </c>
      <c r="K276" s="72" t="s">
        <v>124</v>
      </c>
      <c r="L276" s="73" t="s">
        <v>125</v>
      </c>
      <c r="M276" s="73" t="s">
        <v>38</v>
      </c>
      <c r="N276" s="74">
        <v>2688334</v>
      </c>
      <c r="O276" s="75" t="s">
        <v>756</v>
      </c>
      <c r="P276" s="76" t="s">
        <v>757</v>
      </c>
      <c r="Q276" s="172">
        <v>46262</v>
      </c>
      <c r="R276" s="127">
        <v>46444</v>
      </c>
      <c r="S276" s="176">
        <v>46255</v>
      </c>
      <c r="T276" s="78">
        <v>46259</v>
      </c>
      <c r="U276" s="78">
        <v>46260</v>
      </c>
      <c r="V276" s="79" t="s">
        <v>41</v>
      </c>
      <c r="W276" s="79" t="s">
        <v>32</v>
      </c>
      <c r="X276" s="80" t="s">
        <v>41</v>
      </c>
      <c r="Y276" s="76" t="s">
        <v>32</v>
      </c>
      <c r="Z276" s="68"/>
      <c r="AA276" s="70" t="s">
        <v>43</v>
      </c>
      <c r="AB276" s="73" t="e">
        <f>+VLOOKUP(A276,'[1]VALID RIM NUEVAM'!A$1:O$65536,15,0)</f>
        <v>#N/A</v>
      </c>
      <c r="AC276" s="70"/>
      <c r="AD276" s="70"/>
      <c r="AE276" s="70"/>
    </row>
    <row r="277" spans="1:31" ht="30">
      <c r="A277" s="68" t="str">
        <f t="shared" si="4"/>
        <v>70006449642SIAT S.P.A</v>
      </c>
      <c r="B277" s="69">
        <v>70006449642</v>
      </c>
      <c r="C277" s="68" t="s">
        <v>32</v>
      </c>
      <c r="D277" s="68">
        <v>8422900000</v>
      </c>
      <c r="E277" s="68" t="s">
        <v>32</v>
      </c>
      <c r="F277" s="70" t="s">
        <v>435</v>
      </c>
      <c r="G277" s="71" t="s">
        <v>32</v>
      </c>
      <c r="H277" s="70" t="s">
        <v>170</v>
      </c>
      <c r="I277" s="70" t="s">
        <v>123</v>
      </c>
      <c r="J277" s="72">
        <v>225</v>
      </c>
      <c r="K277" s="72" t="s">
        <v>124</v>
      </c>
      <c r="L277" s="73" t="s">
        <v>125</v>
      </c>
      <c r="M277" s="73" t="s">
        <v>38</v>
      </c>
      <c r="N277" s="74">
        <v>2688334</v>
      </c>
      <c r="O277" s="75" t="s">
        <v>756</v>
      </c>
      <c r="P277" s="76" t="s">
        <v>757</v>
      </c>
      <c r="Q277" s="172">
        <v>46262</v>
      </c>
      <c r="R277" s="127">
        <v>46444</v>
      </c>
      <c r="S277" s="176">
        <v>46255</v>
      </c>
      <c r="T277" s="78">
        <v>46259</v>
      </c>
      <c r="U277" s="78">
        <v>46260</v>
      </c>
      <c r="V277" s="79" t="s">
        <v>41</v>
      </c>
      <c r="W277" s="79" t="s">
        <v>32</v>
      </c>
      <c r="X277" s="80" t="s">
        <v>41</v>
      </c>
      <c r="Y277" s="76" t="s">
        <v>32</v>
      </c>
      <c r="Z277" s="68"/>
      <c r="AA277" s="70" t="s">
        <v>43</v>
      </c>
      <c r="AB277" s="73" t="e">
        <f>+VLOOKUP(A277,'[1]VALID RIM NUEVAM'!A$1:O$65536,15,0)</f>
        <v>#N/A</v>
      </c>
      <c r="AC277" s="70"/>
      <c r="AD277" s="70"/>
      <c r="AE277" s="70"/>
    </row>
    <row r="278" spans="1:31" ht="30">
      <c r="A278" s="68" t="str">
        <f t="shared" si="4"/>
        <v>70006449659SIAT S.P.A</v>
      </c>
      <c r="B278" s="69">
        <v>70006449659</v>
      </c>
      <c r="C278" s="68" t="s">
        <v>32</v>
      </c>
      <c r="D278" s="68">
        <v>8422900000</v>
      </c>
      <c r="E278" s="68" t="s">
        <v>32</v>
      </c>
      <c r="F278" s="70" t="s">
        <v>435</v>
      </c>
      <c r="G278" s="71" t="s">
        <v>32</v>
      </c>
      <c r="H278" s="70" t="s">
        <v>170</v>
      </c>
      <c r="I278" s="70" t="s">
        <v>123</v>
      </c>
      <c r="J278" s="72">
        <v>225</v>
      </c>
      <c r="K278" s="72" t="s">
        <v>124</v>
      </c>
      <c r="L278" s="73" t="s">
        <v>125</v>
      </c>
      <c r="M278" s="73" t="s">
        <v>38</v>
      </c>
      <c r="N278" s="74">
        <v>2688334</v>
      </c>
      <c r="O278" s="75" t="s">
        <v>756</v>
      </c>
      <c r="P278" s="76" t="s">
        <v>757</v>
      </c>
      <c r="Q278" s="172">
        <v>46262</v>
      </c>
      <c r="R278" s="127">
        <v>46444</v>
      </c>
      <c r="S278" s="176">
        <v>46255</v>
      </c>
      <c r="T278" s="78">
        <v>46259</v>
      </c>
      <c r="U278" s="78">
        <v>46260</v>
      </c>
      <c r="V278" s="79" t="s">
        <v>41</v>
      </c>
      <c r="W278" s="79" t="s">
        <v>32</v>
      </c>
      <c r="X278" s="80" t="s">
        <v>41</v>
      </c>
      <c r="Y278" s="76" t="s">
        <v>32</v>
      </c>
      <c r="Z278" s="68"/>
      <c r="AA278" s="70" t="s">
        <v>43</v>
      </c>
      <c r="AB278" s="73" t="e">
        <f>+VLOOKUP(A278,'[1]VALID RIM NUEVAM'!A$1:O$65536,15,0)</f>
        <v>#N/A</v>
      </c>
      <c r="AC278" s="70"/>
      <c r="AD278" s="70"/>
      <c r="AE278" s="70"/>
    </row>
    <row r="279" spans="1:31" ht="30">
      <c r="A279" s="68" t="str">
        <f t="shared" si="4"/>
        <v>70006403557SIAT S.P.A</v>
      </c>
      <c r="B279" s="69">
        <v>70006403557</v>
      </c>
      <c r="C279" s="68" t="s">
        <v>32</v>
      </c>
      <c r="D279" s="68">
        <v>8422900000</v>
      </c>
      <c r="E279" s="68" t="s">
        <v>32</v>
      </c>
      <c r="F279" s="70" t="s">
        <v>435</v>
      </c>
      <c r="G279" s="71" t="s">
        <v>32</v>
      </c>
      <c r="H279" s="70" t="s">
        <v>170</v>
      </c>
      <c r="I279" s="70" t="s">
        <v>123</v>
      </c>
      <c r="J279" s="72">
        <v>217</v>
      </c>
      <c r="K279" s="72" t="s">
        <v>124</v>
      </c>
      <c r="L279" s="73" t="s">
        <v>125</v>
      </c>
      <c r="M279" s="73" t="s">
        <v>38</v>
      </c>
      <c r="N279" s="74">
        <v>2688334</v>
      </c>
      <c r="O279" s="75" t="s">
        <v>756</v>
      </c>
      <c r="P279" s="76" t="s">
        <v>757</v>
      </c>
      <c r="Q279" s="172">
        <v>46262</v>
      </c>
      <c r="R279" s="127">
        <v>46444</v>
      </c>
      <c r="S279" s="176">
        <v>46255</v>
      </c>
      <c r="T279" s="78">
        <v>46259</v>
      </c>
      <c r="U279" s="78">
        <v>46260</v>
      </c>
      <c r="V279" s="79" t="s">
        <v>41</v>
      </c>
      <c r="W279" s="79" t="s">
        <v>32</v>
      </c>
      <c r="X279" s="80" t="s">
        <v>41</v>
      </c>
      <c r="Y279" s="76" t="s">
        <v>32</v>
      </c>
      <c r="Z279" s="68"/>
      <c r="AA279" s="70" t="s">
        <v>43</v>
      </c>
      <c r="AB279" s="73" t="e">
        <f>+VLOOKUP(A279,'[1]VALID RIM NUEVAM'!A$1:O$65536,15,0)</f>
        <v>#N/A</v>
      </c>
      <c r="AC279" s="70"/>
      <c r="AD279" s="70"/>
      <c r="AE279" s="70"/>
    </row>
    <row r="280" spans="1:31" ht="30">
      <c r="A280" s="68" t="str">
        <f t="shared" si="4"/>
        <v>70006403565SIAT S.P.A</v>
      </c>
      <c r="B280" s="69">
        <v>70006403565</v>
      </c>
      <c r="C280" s="68" t="s">
        <v>32</v>
      </c>
      <c r="D280" s="68">
        <v>8422900000</v>
      </c>
      <c r="E280" s="68" t="s">
        <v>32</v>
      </c>
      <c r="F280" s="70" t="s">
        <v>435</v>
      </c>
      <c r="G280" s="71" t="s">
        <v>32</v>
      </c>
      <c r="H280" s="70" t="s">
        <v>170</v>
      </c>
      <c r="I280" s="70" t="s">
        <v>123</v>
      </c>
      <c r="J280" s="72">
        <v>217</v>
      </c>
      <c r="K280" s="72" t="s">
        <v>124</v>
      </c>
      <c r="L280" s="73" t="s">
        <v>125</v>
      </c>
      <c r="M280" s="73" t="s">
        <v>38</v>
      </c>
      <c r="N280" s="74">
        <v>2688334</v>
      </c>
      <c r="O280" s="75" t="s">
        <v>756</v>
      </c>
      <c r="P280" s="76" t="s">
        <v>757</v>
      </c>
      <c r="Q280" s="172">
        <v>46262</v>
      </c>
      <c r="R280" s="127">
        <v>46444</v>
      </c>
      <c r="S280" s="176">
        <v>46255</v>
      </c>
      <c r="T280" s="78">
        <v>46259</v>
      </c>
      <c r="U280" s="78">
        <v>46260</v>
      </c>
      <c r="V280" s="79" t="s">
        <v>41</v>
      </c>
      <c r="W280" s="79" t="s">
        <v>32</v>
      </c>
      <c r="X280" s="80" t="s">
        <v>41</v>
      </c>
      <c r="Y280" s="76" t="s">
        <v>32</v>
      </c>
      <c r="Z280" s="68"/>
      <c r="AA280" s="70" t="s">
        <v>43</v>
      </c>
      <c r="AB280" s="73" t="e">
        <f>+VLOOKUP(A280,'[1]VALID RIM NUEVAM'!A$1:O$65536,15,0)</f>
        <v>#N/A</v>
      </c>
      <c r="AC280" s="70"/>
      <c r="AD280" s="70"/>
      <c r="AE280" s="70"/>
    </row>
    <row r="281" spans="1:31" ht="30">
      <c r="A281" s="68" t="str">
        <f t="shared" si="4"/>
        <v>SBA00060775/78809889567SIAT S.P.A</v>
      </c>
      <c r="B281" s="69" t="s">
        <v>758</v>
      </c>
      <c r="C281" s="68" t="s">
        <v>32</v>
      </c>
      <c r="D281" s="68">
        <v>8422900000</v>
      </c>
      <c r="E281" s="68" t="s">
        <v>32</v>
      </c>
      <c r="F281" s="70" t="s">
        <v>435</v>
      </c>
      <c r="G281" s="71" t="s">
        <v>32</v>
      </c>
      <c r="H281" s="70" t="s">
        <v>170</v>
      </c>
      <c r="I281" s="70" t="s">
        <v>123</v>
      </c>
      <c r="J281" s="72">
        <v>700</v>
      </c>
      <c r="K281" s="72" t="s">
        <v>124</v>
      </c>
      <c r="L281" s="73" t="s">
        <v>125</v>
      </c>
      <c r="M281" s="73" t="s">
        <v>38</v>
      </c>
      <c r="N281" s="74">
        <v>2688334</v>
      </c>
      <c r="O281" s="75" t="s">
        <v>756</v>
      </c>
      <c r="P281" s="76" t="s">
        <v>757</v>
      </c>
      <c r="Q281" s="172">
        <v>46262</v>
      </c>
      <c r="R281" s="127">
        <v>46444</v>
      </c>
      <c r="S281" s="176">
        <v>46255</v>
      </c>
      <c r="T281" s="78">
        <v>46259</v>
      </c>
      <c r="U281" s="78">
        <v>46260</v>
      </c>
      <c r="V281" s="79" t="s">
        <v>41</v>
      </c>
      <c r="W281" s="79" t="s">
        <v>32</v>
      </c>
      <c r="X281" s="80" t="s">
        <v>41</v>
      </c>
      <c r="Y281" s="76" t="s">
        <v>32</v>
      </c>
      <c r="Z281" s="68"/>
      <c r="AA281" s="70" t="s">
        <v>43</v>
      </c>
      <c r="AB281" s="73" t="e">
        <f>+VLOOKUP(A281,'[1]VALID RIM NUEVAM'!A$1:O$65536,15,0)</f>
        <v>#N/A</v>
      </c>
      <c r="AC281" s="70"/>
      <c r="AD281" s="70"/>
      <c r="AE281" s="70"/>
    </row>
    <row r="282" spans="1:31" ht="30">
      <c r="A282" s="68" t="str">
        <f t="shared" si="4"/>
        <v>78809889575SIAT S.P.A</v>
      </c>
      <c r="B282" s="69">
        <v>78809889575</v>
      </c>
      <c r="C282" s="68" t="s">
        <v>32</v>
      </c>
      <c r="D282" s="68">
        <v>8422900000</v>
      </c>
      <c r="E282" s="68" t="s">
        <v>32</v>
      </c>
      <c r="F282" s="70" t="s">
        <v>435</v>
      </c>
      <c r="G282" s="71" t="s">
        <v>32</v>
      </c>
      <c r="H282" s="70" t="s">
        <v>170</v>
      </c>
      <c r="I282" s="70" t="s">
        <v>123</v>
      </c>
      <c r="J282" s="72">
        <v>1400</v>
      </c>
      <c r="K282" s="72" t="s">
        <v>124</v>
      </c>
      <c r="L282" s="73" t="s">
        <v>125</v>
      </c>
      <c r="M282" s="73" t="s">
        <v>38</v>
      </c>
      <c r="N282" s="74">
        <v>2688334</v>
      </c>
      <c r="O282" s="75" t="s">
        <v>756</v>
      </c>
      <c r="P282" s="76" t="s">
        <v>757</v>
      </c>
      <c r="Q282" s="172">
        <v>46262</v>
      </c>
      <c r="R282" s="127">
        <v>46444</v>
      </c>
      <c r="S282" s="176">
        <v>46255</v>
      </c>
      <c r="T282" s="78">
        <v>46259</v>
      </c>
      <c r="U282" s="78">
        <v>46260</v>
      </c>
      <c r="V282" s="79" t="s">
        <v>41</v>
      </c>
      <c r="W282" s="79" t="s">
        <v>32</v>
      </c>
      <c r="X282" s="80" t="s">
        <v>41</v>
      </c>
      <c r="Y282" s="76" t="s">
        <v>32</v>
      </c>
      <c r="Z282" s="68"/>
      <c r="AA282" s="70" t="s">
        <v>43</v>
      </c>
      <c r="AB282" s="73" t="e">
        <f>+VLOOKUP(A282,'[1]VALID RIM NUEVAM'!A$1:O$65536,15,0)</f>
        <v>#N/A</v>
      </c>
      <c r="AC282" s="70"/>
      <c r="AD282" s="70"/>
      <c r="AE282" s="70"/>
    </row>
    <row r="283" spans="1:31" ht="30">
      <c r="A283" s="68" t="str">
        <f t="shared" si="4"/>
        <v>78810012365SIAT S.P.A</v>
      </c>
      <c r="B283" s="69">
        <v>78810012365</v>
      </c>
      <c r="C283" s="68" t="s">
        <v>32</v>
      </c>
      <c r="D283" s="68">
        <v>8422900000</v>
      </c>
      <c r="E283" s="68" t="s">
        <v>32</v>
      </c>
      <c r="F283" s="70" t="s">
        <v>435</v>
      </c>
      <c r="G283" s="71" t="s">
        <v>32</v>
      </c>
      <c r="H283" s="70" t="s">
        <v>170</v>
      </c>
      <c r="I283" s="70" t="s">
        <v>123</v>
      </c>
      <c r="J283" s="72" t="s">
        <v>759</v>
      </c>
      <c r="K283" s="72" t="s">
        <v>124</v>
      </c>
      <c r="L283" s="73" t="s">
        <v>125</v>
      </c>
      <c r="M283" s="73" t="s">
        <v>38</v>
      </c>
      <c r="N283" s="74">
        <v>2688334</v>
      </c>
      <c r="O283" s="75" t="s">
        <v>756</v>
      </c>
      <c r="P283" s="76" t="s">
        <v>757</v>
      </c>
      <c r="Q283" s="172">
        <v>46262</v>
      </c>
      <c r="R283" s="127">
        <v>46444</v>
      </c>
      <c r="S283" s="176">
        <v>46255</v>
      </c>
      <c r="T283" s="78">
        <v>46259</v>
      </c>
      <c r="U283" s="78">
        <v>46260</v>
      </c>
      <c r="V283" s="79" t="s">
        <v>41</v>
      </c>
      <c r="W283" s="79" t="s">
        <v>32</v>
      </c>
      <c r="X283" s="80" t="s">
        <v>41</v>
      </c>
      <c r="Y283" s="76" t="s">
        <v>32</v>
      </c>
      <c r="Z283" s="68"/>
      <c r="AA283" s="70" t="s">
        <v>43</v>
      </c>
      <c r="AB283" s="73" t="e">
        <f>+VLOOKUP(A283,'[1]VALID RIM NUEVAM'!A$1:O$65536,15,0)</f>
        <v>#N/A</v>
      </c>
      <c r="AC283" s="70"/>
      <c r="AD283" s="70"/>
      <c r="AE283" s="70"/>
    </row>
    <row r="284" spans="1:31" ht="30">
      <c r="A284" s="68" t="str">
        <f t="shared" si="4"/>
        <v>70006740933SIAT S.P.A</v>
      </c>
      <c r="B284" s="69">
        <v>70006740933</v>
      </c>
      <c r="C284" s="68" t="s">
        <v>32</v>
      </c>
      <c r="D284" s="68">
        <v>8422900000</v>
      </c>
      <c r="E284" s="68" t="s">
        <v>32</v>
      </c>
      <c r="F284" s="70" t="s">
        <v>435</v>
      </c>
      <c r="G284" s="71" t="s">
        <v>32</v>
      </c>
      <c r="H284" s="70" t="s">
        <v>170</v>
      </c>
      <c r="I284" s="70" t="s">
        <v>123</v>
      </c>
      <c r="J284" s="72">
        <v>505</v>
      </c>
      <c r="K284" s="72" t="s">
        <v>124</v>
      </c>
      <c r="L284" s="73" t="s">
        <v>125</v>
      </c>
      <c r="M284" s="73" t="s">
        <v>38</v>
      </c>
      <c r="N284" s="74">
        <v>2688334</v>
      </c>
      <c r="O284" s="75" t="s">
        <v>756</v>
      </c>
      <c r="P284" s="76" t="s">
        <v>757</v>
      </c>
      <c r="Q284" s="172">
        <v>46262</v>
      </c>
      <c r="R284" s="127">
        <v>46444</v>
      </c>
      <c r="S284" s="176">
        <v>46255</v>
      </c>
      <c r="T284" s="78">
        <v>46259</v>
      </c>
      <c r="U284" s="78">
        <v>46260</v>
      </c>
      <c r="V284" s="79" t="s">
        <v>41</v>
      </c>
      <c r="W284" s="79" t="s">
        <v>32</v>
      </c>
      <c r="X284" s="80" t="s">
        <v>41</v>
      </c>
      <c r="Y284" s="76" t="s">
        <v>32</v>
      </c>
      <c r="Z284" s="68"/>
      <c r="AA284" s="70" t="s">
        <v>43</v>
      </c>
      <c r="AB284" s="73" t="e">
        <f>+VLOOKUP(A284,'[1]VALID RIM NUEVAM'!A$1:O$65536,15,0)</f>
        <v>#N/A</v>
      </c>
      <c r="AC284" s="70"/>
      <c r="AD284" s="70"/>
      <c r="AE284" s="70"/>
    </row>
    <row r="285" spans="1:31" ht="30">
      <c r="A285" s="68" t="str">
        <f t="shared" si="4"/>
        <v>70006740941SIAT S.P.A</v>
      </c>
      <c r="B285" s="69">
        <v>70006740941</v>
      </c>
      <c r="C285" s="68" t="s">
        <v>32</v>
      </c>
      <c r="D285" s="68">
        <v>8422900000</v>
      </c>
      <c r="E285" s="68" t="s">
        <v>32</v>
      </c>
      <c r="F285" s="70" t="s">
        <v>435</v>
      </c>
      <c r="G285" s="71" t="s">
        <v>32</v>
      </c>
      <c r="H285" s="70" t="s">
        <v>170</v>
      </c>
      <c r="I285" s="70" t="s">
        <v>123</v>
      </c>
      <c r="J285" s="72">
        <v>505</v>
      </c>
      <c r="K285" s="72" t="s">
        <v>124</v>
      </c>
      <c r="L285" s="73" t="s">
        <v>125</v>
      </c>
      <c r="M285" s="73" t="s">
        <v>38</v>
      </c>
      <c r="N285" s="74">
        <v>2688334</v>
      </c>
      <c r="O285" s="75" t="s">
        <v>756</v>
      </c>
      <c r="P285" s="76" t="s">
        <v>757</v>
      </c>
      <c r="Q285" s="172">
        <v>46262</v>
      </c>
      <c r="R285" s="127">
        <v>46444</v>
      </c>
      <c r="S285" s="176">
        <v>46255</v>
      </c>
      <c r="T285" s="78">
        <v>46259</v>
      </c>
      <c r="U285" s="78">
        <v>46260</v>
      </c>
      <c r="V285" s="79" t="s">
        <v>41</v>
      </c>
      <c r="W285" s="79" t="s">
        <v>32</v>
      </c>
      <c r="X285" s="80" t="s">
        <v>41</v>
      </c>
      <c r="Y285" s="76" t="s">
        <v>32</v>
      </c>
      <c r="Z285" s="68"/>
      <c r="AA285" s="70" t="s">
        <v>43</v>
      </c>
      <c r="AB285" s="73" t="e">
        <f>+VLOOKUP(A285,'[1]VALID RIM NUEVAM'!A$1:O$65536,15,0)</f>
        <v>#N/A</v>
      </c>
      <c r="AC285" s="70"/>
      <c r="AD285" s="70"/>
      <c r="AE285" s="70"/>
    </row>
    <row r="286" spans="1:31" ht="30">
      <c r="A286" s="68" t="str">
        <f t="shared" si="4"/>
        <v>78813396419SIAT S.P.A</v>
      </c>
      <c r="B286" s="69">
        <v>78813396419</v>
      </c>
      <c r="C286" s="68" t="s">
        <v>32</v>
      </c>
      <c r="D286" s="68">
        <v>8422900000</v>
      </c>
      <c r="E286" s="68" t="s">
        <v>32</v>
      </c>
      <c r="F286" s="70" t="s">
        <v>435</v>
      </c>
      <c r="G286" s="71" t="s">
        <v>32</v>
      </c>
      <c r="H286" s="70" t="s">
        <v>170</v>
      </c>
      <c r="I286" s="70" t="s">
        <v>123</v>
      </c>
      <c r="J286" s="72" t="s">
        <v>760</v>
      </c>
      <c r="K286" s="72" t="s">
        <v>124</v>
      </c>
      <c r="L286" s="73" t="s">
        <v>125</v>
      </c>
      <c r="M286" s="73" t="s">
        <v>38</v>
      </c>
      <c r="N286" s="74">
        <v>2688334</v>
      </c>
      <c r="O286" s="75" t="s">
        <v>756</v>
      </c>
      <c r="P286" s="76" t="s">
        <v>757</v>
      </c>
      <c r="Q286" s="172">
        <v>46262</v>
      </c>
      <c r="R286" s="127">
        <v>46444</v>
      </c>
      <c r="S286" s="176">
        <v>46255</v>
      </c>
      <c r="T286" s="78">
        <v>46259</v>
      </c>
      <c r="U286" s="78">
        <v>46260</v>
      </c>
      <c r="V286" s="79" t="s">
        <v>41</v>
      </c>
      <c r="W286" s="79" t="s">
        <v>32</v>
      </c>
      <c r="X286" s="80" t="s">
        <v>41</v>
      </c>
      <c r="Y286" s="76" t="s">
        <v>32</v>
      </c>
      <c r="Z286" s="68"/>
      <c r="AA286" s="70" t="s">
        <v>43</v>
      </c>
      <c r="AB286" s="73" t="e">
        <f>+VLOOKUP(A286,'[1]VALID RIM NUEVAM'!A$1:O$65536,15,0)</f>
        <v>#N/A</v>
      </c>
      <c r="AC286" s="70"/>
      <c r="AD286" s="70"/>
      <c r="AE286" s="70"/>
    </row>
    <row r="287" spans="1:31" ht="30">
      <c r="A287" s="68" t="str">
        <f t="shared" si="4"/>
        <v>78807647413SIAT S.P.A</v>
      </c>
      <c r="B287" s="69">
        <v>78807647413</v>
      </c>
      <c r="C287" s="68" t="s">
        <v>32</v>
      </c>
      <c r="D287" s="68">
        <v>8422900000</v>
      </c>
      <c r="E287" s="68" t="s">
        <v>32</v>
      </c>
      <c r="F287" s="70" t="s">
        <v>435</v>
      </c>
      <c r="G287" s="71" t="s">
        <v>32</v>
      </c>
      <c r="H287" s="70" t="s">
        <v>170</v>
      </c>
      <c r="I287" s="70" t="s">
        <v>123</v>
      </c>
      <c r="J287" s="72" t="s">
        <v>761</v>
      </c>
      <c r="K287" s="72" t="s">
        <v>124</v>
      </c>
      <c r="L287" s="73" t="s">
        <v>125</v>
      </c>
      <c r="M287" s="73" t="s">
        <v>38</v>
      </c>
      <c r="N287" s="74">
        <v>2688334</v>
      </c>
      <c r="O287" s="75" t="s">
        <v>756</v>
      </c>
      <c r="P287" s="76" t="s">
        <v>757</v>
      </c>
      <c r="Q287" s="172">
        <v>46262</v>
      </c>
      <c r="R287" s="127">
        <v>46444</v>
      </c>
      <c r="S287" s="176">
        <v>46255</v>
      </c>
      <c r="T287" s="78">
        <v>46259</v>
      </c>
      <c r="U287" s="78">
        <v>46260</v>
      </c>
      <c r="V287" s="79" t="s">
        <v>41</v>
      </c>
      <c r="W287" s="79" t="s">
        <v>32</v>
      </c>
      <c r="X287" s="80" t="s">
        <v>41</v>
      </c>
      <c r="Y287" s="76" t="s">
        <v>32</v>
      </c>
      <c r="Z287" s="68"/>
      <c r="AA287" s="70" t="s">
        <v>43</v>
      </c>
      <c r="AB287" s="73" t="e">
        <f>+VLOOKUP(A287,'[1]VALID RIM NUEVAM'!A$1:O$65536,15,0)</f>
        <v>#N/A</v>
      </c>
      <c r="AC287" s="70"/>
      <c r="AD287" s="70"/>
      <c r="AE287" s="70"/>
    </row>
    <row r="288" spans="1:31" ht="30">
      <c r="A288" s="68" t="str">
        <f t="shared" si="4"/>
        <v>78806083966SIAT S.P.A</v>
      </c>
      <c r="B288" s="69">
        <v>78806083966</v>
      </c>
      <c r="C288" s="68" t="s">
        <v>32</v>
      </c>
      <c r="D288" s="68">
        <v>8422900000</v>
      </c>
      <c r="E288" s="68" t="s">
        <v>32</v>
      </c>
      <c r="F288" s="70" t="s">
        <v>435</v>
      </c>
      <c r="G288" s="71" t="s">
        <v>32</v>
      </c>
      <c r="H288" s="70" t="s">
        <v>170</v>
      </c>
      <c r="I288" s="70" t="s">
        <v>123</v>
      </c>
      <c r="J288" s="72" t="s">
        <v>762</v>
      </c>
      <c r="K288" s="72" t="s">
        <v>124</v>
      </c>
      <c r="L288" s="73" t="s">
        <v>125</v>
      </c>
      <c r="M288" s="73" t="s">
        <v>38</v>
      </c>
      <c r="N288" s="74">
        <v>2688334</v>
      </c>
      <c r="O288" s="75" t="s">
        <v>756</v>
      </c>
      <c r="P288" s="76" t="s">
        <v>757</v>
      </c>
      <c r="Q288" s="172">
        <v>46262</v>
      </c>
      <c r="R288" s="127">
        <v>46444</v>
      </c>
      <c r="S288" s="176">
        <v>46255</v>
      </c>
      <c r="T288" s="78">
        <v>46259</v>
      </c>
      <c r="U288" s="78">
        <v>46260</v>
      </c>
      <c r="V288" s="79" t="s">
        <v>41</v>
      </c>
      <c r="W288" s="79" t="s">
        <v>32</v>
      </c>
      <c r="X288" s="80" t="s">
        <v>41</v>
      </c>
      <c r="Y288" s="76" t="s">
        <v>32</v>
      </c>
      <c r="Z288" s="68"/>
      <c r="AA288" s="70" t="s">
        <v>43</v>
      </c>
      <c r="AB288" s="73" t="e">
        <f>+VLOOKUP(A288,'[1]VALID RIM NUEVAM'!A$1:O$65536,15,0)</f>
        <v>#N/A</v>
      </c>
      <c r="AC288" s="70"/>
      <c r="AD288" s="70"/>
      <c r="AE288" s="70"/>
    </row>
    <row r="289" spans="1:31" ht="30">
      <c r="A289" s="68" t="str">
        <f t="shared" si="4"/>
        <v>78805761794SIAT S.P.A</v>
      </c>
      <c r="B289" s="69">
        <v>78805761794</v>
      </c>
      <c r="C289" s="68" t="s">
        <v>32</v>
      </c>
      <c r="D289" s="68">
        <v>8422900000</v>
      </c>
      <c r="E289" s="68" t="s">
        <v>32</v>
      </c>
      <c r="F289" s="70" t="s">
        <v>435</v>
      </c>
      <c r="G289" s="71" t="s">
        <v>32</v>
      </c>
      <c r="H289" s="70" t="s">
        <v>170</v>
      </c>
      <c r="I289" s="70" t="s">
        <v>123</v>
      </c>
      <c r="J289" s="72" t="s">
        <v>763</v>
      </c>
      <c r="K289" s="72" t="s">
        <v>124</v>
      </c>
      <c r="L289" s="73" t="s">
        <v>125</v>
      </c>
      <c r="M289" s="73" t="s">
        <v>38</v>
      </c>
      <c r="N289" s="74">
        <v>2688334</v>
      </c>
      <c r="O289" s="75" t="s">
        <v>756</v>
      </c>
      <c r="P289" s="76" t="s">
        <v>757</v>
      </c>
      <c r="Q289" s="172">
        <v>46262</v>
      </c>
      <c r="R289" s="127">
        <v>46444</v>
      </c>
      <c r="S289" s="176">
        <v>46255</v>
      </c>
      <c r="T289" s="78">
        <v>46259</v>
      </c>
      <c r="U289" s="78">
        <v>46260</v>
      </c>
      <c r="V289" s="79" t="s">
        <v>41</v>
      </c>
      <c r="W289" s="79" t="s">
        <v>32</v>
      </c>
      <c r="X289" s="80" t="s">
        <v>41</v>
      </c>
      <c r="Y289" s="76" t="s">
        <v>32</v>
      </c>
      <c r="Z289" s="68"/>
      <c r="AA289" s="70" t="s">
        <v>43</v>
      </c>
      <c r="AB289" s="73" t="e">
        <f>+VLOOKUP(A289,'[1]VALID RIM NUEVAM'!A$1:O$65536,15,0)</f>
        <v>#N/A</v>
      </c>
      <c r="AC289" s="70"/>
      <c r="AD289" s="70"/>
      <c r="AE289" s="70"/>
    </row>
    <row r="290" spans="1:31" ht="30">
      <c r="A290" s="68" t="str">
        <f t="shared" si="4"/>
        <v>78805761786SIAT S.P.A</v>
      </c>
      <c r="B290" s="69">
        <v>78805761786</v>
      </c>
      <c r="C290" s="68" t="s">
        <v>32</v>
      </c>
      <c r="D290" s="68">
        <v>8422900000</v>
      </c>
      <c r="E290" s="68" t="s">
        <v>32</v>
      </c>
      <c r="F290" s="70" t="s">
        <v>435</v>
      </c>
      <c r="G290" s="71" t="s">
        <v>32</v>
      </c>
      <c r="H290" s="70" t="s">
        <v>170</v>
      </c>
      <c r="I290" s="70" t="s">
        <v>123</v>
      </c>
      <c r="J290" s="72" t="s">
        <v>764</v>
      </c>
      <c r="K290" s="72" t="s">
        <v>124</v>
      </c>
      <c r="L290" s="73" t="s">
        <v>125</v>
      </c>
      <c r="M290" s="73" t="s">
        <v>38</v>
      </c>
      <c r="N290" s="74">
        <v>2688334</v>
      </c>
      <c r="O290" s="75" t="s">
        <v>756</v>
      </c>
      <c r="P290" s="76" t="s">
        <v>757</v>
      </c>
      <c r="Q290" s="172">
        <v>46262</v>
      </c>
      <c r="R290" s="127">
        <v>46444</v>
      </c>
      <c r="S290" s="176">
        <v>46255</v>
      </c>
      <c r="T290" s="78">
        <v>46259</v>
      </c>
      <c r="U290" s="78">
        <v>46260</v>
      </c>
      <c r="V290" s="79" t="s">
        <v>41</v>
      </c>
      <c r="W290" s="79" t="s">
        <v>32</v>
      </c>
      <c r="X290" s="80" t="s">
        <v>41</v>
      </c>
      <c r="Y290" s="76" t="s">
        <v>32</v>
      </c>
      <c r="Z290" s="68"/>
      <c r="AA290" s="70" t="s">
        <v>43</v>
      </c>
      <c r="AB290" s="73" t="e">
        <f>+VLOOKUP(A290,'[1]VALID RIM NUEVAM'!A$1:O$65536,15,0)</f>
        <v>#N/A</v>
      </c>
      <c r="AC290" s="70"/>
      <c r="AD290" s="70"/>
      <c r="AE290" s="70"/>
    </row>
    <row r="291" spans="1:31" ht="30">
      <c r="A291" s="68" t="str">
        <f t="shared" si="4"/>
        <v>78807012204SIAT S.P.A</v>
      </c>
      <c r="B291" s="69">
        <v>78807012204</v>
      </c>
      <c r="C291" s="68" t="s">
        <v>32</v>
      </c>
      <c r="D291" s="68">
        <v>8422900000</v>
      </c>
      <c r="E291" s="68" t="s">
        <v>32</v>
      </c>
      <c r="F291" s="70" t="s">
        <v>435</v>
      </c>
      <c r="G291" s="71" t="s">
        <v>32</v>
      </c>
      <c r="H291" s="70" t="s">
        <v>170</v>
      </c>
      <c r="I291" s="70" t="s">
        <v>123</v>
      </c>
      <c r="J291" s="72" t="s">
        <v>765</v>
      </c>
      <c r="K291" s="72" t="s">
        <v>124</v>
      </c>
      <c r="L291" s="73" t="s">
        <v>125</v>
      </c>
      <c r="M291" s="73" t="s">
        <v>38</v>
      </c>
      <c r="N291" s="74">
        <v>2688334</v>
      </c>
      <c r="O291" s="75" t="s">
        <v>756</v>
      </c>
      <c r="P291" s="76" t="s">
        <v>757</v>
      </c>
      <c r="Q291" s="172">
        <v>46262</v>
      </c>
      <c r="R291" s="127">
        <v>46444</v>
      </c>
      <c r="S291" s="176">
        <v>46255</v>
      </c>
      <c r="T291" s="78">
        <v>46259</v>
      </c>
      <c r="U291" s="78">
        <v>46260</v>
      </c>
      <c r="V291" s="79" t="s">
        <v>41</v>
      </c>
      <c r="W291" s="79" t="s">
        <v>32</v>
      </c>
      <c r="X291" s="80" t="s">
        <v>41</v>
      </c>
      <c r="Y291" s="76" t="s">
        <v>32</v>
      </c>
      <c r="Z291" s="68"/>
      <c r="AA291" s="70" t="s">
        <v>43</v>
      </c>
      <c r="AB291" s="73" t="e">
        <f>+VLOOKUP(A291,'[1]VALID RIM NUEVAM'!A$1:O$65536,15,0)</f>
        <v>#N/A</v>
      </c>
      <c r="AC291" s="70"/>
      <c r="AD291" s="70"/>
      <c r="AE291" s="70"/>
    </row>
    <row r="292" spans="1:31" ht="30">
      <c r="A292" s="68" t="str">
        <f t="shared" si="4"/>
        <v>78807013715SIAT S.P.A</v>
      </c>
      <c r="B292" s="69">
        <v>78807013715</v>
      </c>
      <c r="C292" s="68" t="s">
        <v>32</v>
      </c>
      <c r="D292" s="68">
        <v>8422900000</v>
      </c>
      <c r="E292" s="68" t="s">
        <v>32</v>
      </c>
      <c r="F292" s="70" t="s">
        <v>435</v>
      </c>
      <c r="G292" s="71" t="s">
        <v>32</v>
      </c>
      <c r="H292" s="70" t="s">
        <v>170</v>
      </c>
      <c r="I292" s="70" t="s">
        <v>123</v>
      </c>
      <c r="J292" s="72" t="s">
        <v>766</v>
      </c>
      <c r="K292" s="72" t="s">
        <v>124</v>
      </c>
      <c r="L292" s="73" t="s">
        <v>125</v>
      </c>
      <c r="M292" s="73" t="s">
        <v>38</v>
      </c>
      <c r="N292" s="74">
        <v>2688334</v>
      </c>
      <c r="O292" s="75" t="s">
        <v>756</v>
      </c>
      <c r="P292" s="76" t="s">
        <v>757</v>
      </c>
      <c r="Q292" s="172">
        <v>46262</v>
      </c>
      <c r="R292" s="127">
        <v>46444</v>
      </c>
      <c r="S292" s="176">
        <v>46255</v>
      </c>
      <c r="T292" s="78">
        <v>46259</v>
      </c>
      <c r="U292" s="78">
        <v>46260</v>
      </c>
      <c r="V292" s="79" t="s">
        <v>41</v>
      </c>
      <c r="W292" s="79" t="s">
        <v>32</v>
      </c>
      <c r="X292" s="80" t="s">
        <v>41</v>
      </c>
      <c r="Y292" s="76" t="s">
        <v>32</v>
      </c>
      <c r="Z292" s="68"/>
      <c r="AA292" s="70" t="s">
        <v>43</v>
      </c>
      <c r="AB292" s="73" t="e">
        <f>+VLOOKUP(A292,'[1]VALID RIM NUEVAM'!A$1:O$65536,15,0)</f>
        <v>#N/A</v>
      </c>
      <c r="AC292" s="70"/>
      <c r="AD292" s="70"/>
      <c r="AE292" s="70"/>
    </row>
    <row r="293" spans="1:31" ht="30">
      <c r="A293" s="68" t="str">
        <f t="shared" si="4"/>
        <v>78805488075SIAT S.P.A</v>
      </c>
      <c r="B293" s="69">
        <v>78805488075</v>
      </c>
      <c r="C293" s="68" t="s">
        <v>32</v>
      </c>
      <c r="D293" s="68">
        <v>8422900000</v>
      </c>
      <c r="E293" s="68" t="s">
        <v>32</v>
      </c>
      <c r="F293" s="70" t="s">
        <v>435</v>
      </c>
      <c r="G293" s="71" t="s">
        <v>32</v>
      </c>
      <c r="H293" s="70" t="s">
        <v>170</v>
      </c>
      <c r="I293" s="70" t="s">
        <v>123</v>
      </c>
      <c r="J293" s="72" t="s">
        <v>767</v>
      </c>
      <c r="K293" s="72" t="s">
        <v>124</v>
      </c>
      <c r="L293" s="73" t="s">
        <v>125</v>
      </c>
      <c r="M293" s="73" t="s">
        <v>38</v>
      </c>
      <c r="N293" s="74">
        <v>2688334</v>
      </c>
      <c r="O293" s="75" t="s">
        <v>756</v>
      </c>
      <c r="P293" s="76" t="s">
        <v>757</v>
      </c>
      <c r="Q293" s="172">
        <v>46262</v>
      </c>
      <c r="R293" s="127">
        <v>46444</v>
      </c>
      <c r="S293" s="176">
        <v>46255</v>
      </c>
      <c r="T293" s="78">
        <v>46259</v>
      </c>
      <c r="U293" s="78">
        <v>46260</v>
      </c>
      <c r="V293" s="79" t="s">
        <v>41</v>
      </c>
      <c r="W293" s="79" t="s">
        <v>32</v>
      </c>
      <c r="X293" s="80" t="s">
        <v>41</v>
      </c>
      <c r="Y293" s="76" t="s">
        <v>32</v>
      </c>
      <c r="Z293" s="68"/>
      <c r="AA293" s="70" t="s">
        <v>43</v>
      </c>
      <c r="AB293" s="73" t="e">
        <f>+VLOOKUP(A293,'[1]VALID RIM NUEVAM'!A$1:O$65536,15,0)</f>
        <v>#N/A</v>
      </c>
      <c r="AC293" s="70"/>
      <c r="AD293" s="70"/>
      <c r="AE293" s="70"/>
    </row>
    <row r="294" spans="1:31" ht="30">
      <c r="A294" s="68" t="str">
        <f t="shared" si="4"/>
        <v>78805487994SIAT S.P.A</v>
      </c>
      <c r="B294" s="69">
        <v>78805487994</v>
      </c>
      <c r="C294" s="68" t="s">
        <v>32</v>
      </c>
      <c r="D294" s="68">
        <v>8422900000</v>
      </c>
      <c r="E294" s="68" t="s">
        <v>32</v>
      </c>
      <c r="F294" s="70" t="s">
        <v>435</v>
      </c>
      <c r="G294" s="71" t="s">
        <v>32</v>
      </c>
      <c r="H294" s="70" t="s">
        <v>170</v>
      </c>
      <c r="I294" s="70" t="s">
        <v>123</v>
      </c>
      <c r="J294" s="72" t="s">
        <v>768</v>
      </c>
      <c r="K294" s="72" t="s">
        <v>124</v>
      </c>
      <c r="L294" s="73" t="s">
        <v>125</v>
      </c>
      <c r="M294" s="73" t="s">
        <v>38</v>
      </c>
      <c r="N294" s="74">
        <v>2688334</v>
      </c>
      <c r="O294" s="75" t="s">
        <v>756</v>
      </c>
      <c r="P294" s="76" t="s">
        <v>757</v>
      </c>
      <c r="Q294" s="172">
        <v>46262</v>
      </c>
      <c r="R294" s="127">
        <v>46444</v>
      </c>
      <c r="S294" s="176">
        <v>46255</v>
      </c>
      <c r="T294" s="78">
        <v>46259</v>
      </c>
      <c r="U294" s="78">
        <v>46260</v>
      </c>
      <c r="V294" s="79" t="s">
        <v>41</v>
      </c>
      <c r="W294" s="79" t="s">
        <v>32</v>
      </c>
      <c r="X294" s="80" t="s">
        <v>41</v>
      </c>
      <c r="Y294" s="76" t="s">
        <v>32</v>
      </c>
      <c r="Z294" s="68"/>
      <c r="AA294" s="70" t="s">
        <v>43</v>
      </c>
      <c r="AB294" s="73" t="e">
        <f>+VLOOKUP(A294,'[1]VALID RIM NUEVAM'!A$1:O$65536,15,0)</f>
        <v>#N/A</v>
      </c>
      <c r="AC294" s="70"/>
      <c r="AD294" s="70"/>
      <c r="AE294" s="70"/>
    </row>
    <row r="295" spans="1:31" ht="30">
      <c r="A295" s="68" t="str">
        <f t="shared" si="4"/>
        <v>78806841447SIAT S.P.A</v>
      </c>
      <c r="B295" s="69">
        <v>78806841447</v>
      </c>
      <c r="C295" s="68" t="s">
        <v>32</v>
      </c>
      <c r="D295" s="68">
        <v>8422900000</v>
      </c>
      <c r="E295" s="68" t="s">
        <v>32</v>
      </c>
      <c r="F295" s="70" t="s">
        <v>435</v>
      </c>
      <c r="G295" s="71" t="s">
        <v>32</v>
      </c>
      <c r="H295" s="70" t="s">
        <v>170</v>
      </c>
      <c r="I295" s="70" t="s">
        <v>123</v>
      </c>
      <c r="J295" s="72" t="s">
        <v>768</v>
      </c>
      <c r="K295" s="72" t="s">
        <v>124</v>
      </c>
      <c r="L295" s="73" t="s">
        <v>125</v>
      </c>
      <c r="M295" s="73" t="s">
        <v>38</v>
      </c>
      <c r="N295" s="74">
        <v>2688334</v>
      </c>
      <c r="O295" s="75" t="s">
        <v>756</v>
      </c>
      <c r="P295" s="76" t="s">
        <v>757</v>
      </c>
      <c r="Q295" s="172">
        <v>46262</v>
      </c>
      <c r="R295" s="127">
        <v>46444</v>
      </c>
      <c r="S295" s="176">
        <v>46255</v>
      </c>
      <c r="T295" s="78">
        <v>46259</v>
      </c>
      <c r="U295" s="78">
        <v>46260</v>
      </c>
      <c r="V295" s="79" t="s">
        <v>41</v>
      </c>
      <c r="W295" s="79" t="s">
        <v>32</v>
      </c>
      <c r="X295" s="80" t="s">
        <v>41</v>
      </c>
      <c r="Y295" s="76" t="s">
        <v>32</v>
      </c>
      <c r="Z295" s="68"/>
      <c r="AA295" s="70" t="s">
        <v>43</v>
      </c>
      <c r="AB295" s="73" t="e">
        <f>+VLOOKUP(A295,'[1]VALID RIM NUEVAM'!A$1:O$65536,15,0)</f>
        <v>#N/A</v>
      </c>
      <c r="AC295" s="70"/>
      <c r="AD295" s="70"/>
      <c r="AE295" s="70"/>
    </row>
    <row r="296" spans="1:31" ht="30">
      <c r="A296" s="68" t="str">
        <f t="shared" si="4"/>
        <v>78806841439SIAT S.P.A</v>
      </c>
      <c r="B296" s="69">
        <v>78806841439</v>
      </c>
      <c r="C296" s="68" t="s">
        <v>32</v>
      </c>
      <c r="D296" s="68">
        <v>8422900000</v>
      </c>
      <c r="E296" s="68" t="s">
        <v>32</v>
      </c>
      <c r="F296" s="70" t="s">
        <v>435</v>
      </c>
      <c r="G296" s="71" t="s">
        <v>32</v>
      </c>
      <c r="H296" s="70" t="s">
        <v>170</v>
      </c>
      <c r="I296" s="70" t="s">
        <v>123</v>
      </c>
      <c r="J296" s="72" t="s">
        <v>768</v>
      </c>
      <c r="K296" s="72" t="s">
        <v>124</v>
      </c>
      <c r="L296" s="73" t="s">
        <v>125</v>
      </c>
      <c r="M296" s="73" t="s">
        <v>38</v>
      </c>
      <c r="N296" s="74">
        <v>2688334</v>
      </c>
      <c r="O296" s="75" t="s">
        <v>756</v>
      </c>
      <c r="P296" s="76" t="s">
        <v>757</v>
      </c>
      <c r="Q296" s="172">
        <v>46262</v>
      </c>
      <c r="R296" s="127">
        <v>46444</v>
      </c>
      <c r="S296" s="176">
        <v>46255</v>
      </c>
      <c r="T296" s="78">
        <v>46259</v>
      </c>
      <c r="U296" s="78">
        <v>46260</v>
      </c>
      <c r="V296" s="79" t="s">
        <v>41</v>
      </c>
      <c r="W296" s="79" t="s">
        <v>32</v>
      </c>
      <c r="X296" s="80" t="s">
        <v>41</v>
      </c>
      <c r="Y296" s="76" t="s">
        <v>32</v>
      </c>
      <c r="Z296" s="68"/>
      <c r="AA296" s="70" t="s">
        <v>43</v>
      </c>
      <c r="AB296" s="73" t="e">
        <f>+VLOOKUP(A296,'[1]VALID RIM NUEVAM'!A$1:O$65536,15,0)</f>
        <v>#N/A</v>
      </c>
      <c r="AC296" s="70"/>
      <c r="AD296" s="70"/>
      <c r="AE296" s="70"/>
    </row>
    <row r="297" spans="1:31" ht="30">
      <c r="A297" s="68" t="str">
        <f t="shared" si="4"/>
        <v>78805487978SIAT S.P.A</v>
      </c>
      <c r="B297" s="69">
        <v>78805487978</v>
      </c>
      <c r="C297" s="68" t="s">
        <v>32</v>
      </c>
      <c r="D297" s="68">
        <v>8422900000</v>
      </c>
      <c r="E297" s="68" t="s">
        <v>32</v>
      </c>
      <c r="F297" s="70" t="s">
        <v>435</v>
      </c>
      <c r="G297" s="71" t="s">
        <v>32</v>
      </c>
      <c r="H297" s="70" t="s">
        <v>170</v>
      </c>
      <c r="I297" s="70" t="s">
        <v>123</v>
      </c>
      <c r="J297" s="72" t="s">
        <v>769</v>
      </c>
      <c r="K297" s="72" t="s">
        <v>124</v>
      </c>
      <c r="L297" s="73" t="s">
        <v>125</v>
      </c>
      <c r="M297" s="73" t="s">
        <v>38</v>
      </c>
      <c r="N297" s="74">
        <v>2688334</v>
      </c>
      <c r="O297" s="75" t="s">
        <v>756</v>
      </c>
      <c r="P297" s="76" t="s">
        <v>757</v>
      </c>
      <c r="Q297" s="172">
        <v>46262</v>
      </c>
      <c r="R297" s="127">
        <v>46444</v>
      </c>
      <c r="S297" s="176">
        <v>46255</v>
      </c>
      <c r="T297" s="78">
        <v>46259</v>
      </c>
      <c r="U297" s="78">
        <v>46260</v>
      </c>
      <c r="V297" s="79" t="s">
        <v>41</v>
      </c>
      <c r="W297" s="79" t="s">
        <v>32</v>
      </c>
      <c r="X297" s="80" t="s">
        <v>41</v>
      </c>
      <c r="Y297" s="76" t="s">
        <v>32</v>
      </c>
      <c r="Z297" s="68"/>
      <c r="AA297" s="70" t="s">
        <v>43</v>
      </c>
      <c r="AB297" s="73" t="e">
        <f>+VLOOKUP(A297,'[1]VALID RIM NUEVAM'!A$1:O$65536,15,0)</f>
        <v>#N/A</v>
      </c>
      <c r="AC297" s="70"/>
      <c r="AD297" s="70"/>
      <c r="AE297" s="70"/>
    </row>
    <row r="298" spans="1:31" ht="30">
      <c r="A298" s="68" t="str">
        <f t="shared" si="4"/>
        <v>78807647777SIAT S.P.A</v>
      </c>
      <c r="B298" s="69">
        <v>78807647777</v>
      </c>
      <c r="C298" s="68" t="s">
        <v>32</v>
      </c>
      <c r="D298" s="68">
        <v>8422900000</v>
      </c>
      <c r="E298" s="68" t="s">
        <v>32</v>
      </c>
      <c r="F298" s="70" t="s">
        <v>435</v>
      </c>
      <c r="G298" s="71" t="s">
        <v>32</v>
      </c>
      <c r="H298" s="70" t="s">
        <v>170</v>
      </c>
      <c r="I298" s="70" t="s">
        <v>123</v>
      </c>
      <c r="J298" s="72" t="s">
        <v>770</v>
      </c>
      <c r="K298" s="72" t="s">
        <v>124</v>
      </c>
      <c r="L298" s="73" t="s">
        <v>125</v>
      </c>
      <c r="M298" s="73" t="s">
        <v>38</v>
      </c>
      <c r="N298" s="74">
        <v>2688334</v>
      </c>
      <c r="O298" s="75" t="s">
        <v>756</v>
      </c>
      <c r="P298" s="76" t="s">
        <v>757</v>
      </c>
      <c r="Q298" s="172">
        <v>46262</v>
      </c>
      <c r="R298" s="127">
        <v>46444</v>
      </c>
      <c r="S298" s="176">
        <v>46255</v>
      </c>
      <c r="T298" s="78">
        <v>46259</v>
      </c>
      <c r="U298" s="78">
        <v>46260</v>
      </c>
      <c r="V298" s="79" t="s">
        <v>41</v>
      </c>
      <c r="W298" s="79" t="s">
        <v>32</v>
      </c>
      <c r="X298" s="80" t="s">
        <v>41</v>
      </c>
      <c r="Y298" s="76" t="s">
        <v>32</v>
      </c>
      <c r="Z298" s="68"/>
      <c r="AA298" s="70" t="s">
        <v>43</v>
      </c>
      <c r="AB298" s="73" t="e">
        <f>+VLOOKUP(A298,'[1]VALID RIM NUEVAM'!A$1:O$65536,15,0)</f>
        <v>#N/A</v>
      </c>
      <c r="AC298" s="70"/>
      <c r="AD298" s="70"/>
      <c r="AE298" s="70"/>
    </row>
    <row r="299" spans="1:31" ht="30">
      <c r="A299" s="68" t="str">
        <f t="shared" si="4"/>
        <v>78807647769SIAT S.P.A</v>
      </c>
      <c r="B299" s="69">
        <v>78807647769</v>
      </c>
      <c r="C299" s="68" t="s">
        <v>32</v>
      </c>
      <c r="D299" s="68">
        <v>8422900000</v>
      </c>
      <c r="E299" s="68" t="s">
        <v>32</v>
      </c>
      <c r="F299" s="70" t="s">
        <v>435</v>
      </c>
      <c r="G299" s="71" t="s">
        <v>32</v>
      </c>
      <c r="H299" s="70" t="s">
        <v>170</v>
      </c>
      <c r="I299" s="70" t="s">
        <v>123</v>
      </c>
      <c r="J299" s="72" t="s">
        <v>771</v>
      </c>
      <c r="K299" s="72" t="s">
        <v>124</v>
      </c>
      <c r="L299" s="73" t="s">
        <v>125</v>
      </c>
      <c r="M299" s="73" t="s">
        <v>38</v>
      </c>
      <c r="N299" s="74">
        <v>2688334</v>
      </c>
      <c r="O299" s="75" t="s">
        <v>756</v>
      </c>
      <c r="P299" s="76" t="s">
        <v>757</v>
      </c>
      <c r="Q299" s="172">
        <v>46262</v>
      </c>
      <c r="R299" s="127">
        <v>46444</v>
      </c>
      <c r="S299" s="176">
        <v>46255</v>
      </c>
      <c r="T299" s="78">
        <v>46259</v>
      </c>
      <c r="U299" s="78">
        <v>46260</v>
      </c>
      <c r="V299" s="79" t="s">
        <v>41</v>
      </c>
      <c r="W299" s="79" t="s">
        <v>32</v>
      </c>
      <c r="X299" s="80" t="s">
        <v>41</v>
      </c>
      <c r="Y299" s="76" t="s">
        <v>32</v>
      </c>
      <c r="Z299" s="68"/>
      <c r="AA299" s="70" t="s">
        <v>43</v>
      </c>
      <c r="AB299" s="73" t="e">
        <f>+VLOOKUP(A299,'[1]VALID RIM NUEVAM'!A$1:O$65536,15,0)</f>
        <v>#N/A</v>
      </c>
      <c r="AC299" s="70"/>
      <c r="AD299" s="70"/>
      <c r="AE299" s="70"/>
    </row>
    <row r="300" spans="1:31" ht="30">
      <c r="A300" s="68" t="str">
        <f t="shared" si="4"/>
        <v>78806083958SIAT S.P.A</v>
      </c>
      <c r="B300" s="69">
        <v>78806083958</v>
      </c>
      <c r="C300" s="68" t="s">
        <v>32</v>
      </c>
      <c r="D300" s="68">
        <v>8422900000</v>
      </c>
      <c r="E300" s="68" t="s">
        <v>32</v>
      </c>
      <c r="F300" s="70" t="s">
        <v>435</v>
      </c>
      <c r="G300" s="71" t="s">
        <v>32</v>
      </c>
      <c r="H300" s="70" t="s">
        <v>170</v>
      </c>
      <c r="I300" s="70" t="s">
        <v>123</v>
      </c>
      <c r="J300" s="72" t="s">
        <v>772</v>
      </c>
      <c r="K300" s="72" t="s">
        <v>124</v>
      </c>
      <c r="L300" s="73" t="s">
        <v>125</v>
      </c>
      <c r="M300" s="73" t="s">
        <v>38</v>
      </c>
      <c r="N300" s="74">
        <v>2688334</v>
      </c>
      <c r="O300" s="75" t="s">
        <v>756</v>
      </c>
      <c r="P300" s="76" t="s">
        <v>757</v>
      </c>
      <c r="Q300" s="172">
        <v>46262</v>
      </c>
      <c r="R300" s="127">
        <v>46444</v>
      </c>
      <c r="S300" s="176">
        <v>46255</v>
      </c>
      <c r="T300" s="78">
        <v>46259</v>
      </c>
      <c r="U300" s="78">
        <v>46260</v>
      </c>
      <c r="V300" s="79" t="s">
        <v>41</v>
      </c>
      <c r="W300" s="79" t="s">
        <v>32</v>
      </c>
      <c r="X300" s="80" t="s">
        <v>41</v>
      </c>
      <c r="Y300" s="76" t="s">
        <v>32</v>
      </c>
      <c r="Z300" s="68"/>
      <c r="AA300" s="70" t="s">
        <v>43</v>
      </c>
      <c r="AB300" s="73" t="e">
        <f>+VLOOKUP(A300,'[1]VALID RIM NUEVAM'!A$1:O$65536,15,0)</f>
        <v>#N/A</v>
      </c>
      <c r="AC300" s="70"/>
      <c r="AD300" s="70"/>
      <c r="AE300" s="70"/>
    </row>
    <row r="301" spans="1:31" ht="30">
      <c r="A301" s="68" t="str">
        <f t="shared" si="4"/>
        <v>78805265861SIAT S.P.A</v>
      </c>
      <c r="B301" s="69">
        <v>78805265861</v>
      </c>
      <c r="C301" s="68" t="s">
        <v>32</v>
      </c>
      <c r="D301" s="68">
        <v>8422900000</v>
      </c>
      <c r="E301" s="68" t="s">
        <v>32</v>
      </c>
      <c r="F301" s="70" t="s">
        <v>435</v>
      </c>
      <c r="G301" s="71" t="s">
        <v>32</v>
      </c>
      <c r="H301" s="70" t="s">
        <v>170</v>
      </c>
      <c r="I301" s="70" t="s">
        <v>123</v>
      </c>
      <c r="J301" s="72" t="s">
        <v>773</v>
      </c>
      <c r="K301" s="72" t="s">
        <v>124</v>
      </c>
      <c r="L301" s="73" t="s">
        <v>125</v>
      </c>
      <c r="M301" s="73" t="s">
        <v>38</v>
      </c>
      <c r="N301" s="74">
        <v>2688334</v>
      </c>
      <c r="O301" s="75" t="s">
        <v>756</v>
      </c>
      <c r="P301" s="76" t="s">
        <v>757</v>
      </c>
      <c r="Q301" s="172">
        <v>46262</v>
      </c>
      <c r="R301" s="127">
        <v>46444</v>
      </c>
      <c r="S301" s="176">
        <v>46255</v>
      </c>
      <c r="T301" s="78">
        <v>46259</v>
      </c>
      <c r="U301" s="78">
        <v>46260</v>
      </c>
      <c r="V301" s="79" t="s">
        <v>41</v>
      </c>
      <c r="W301" s="79" t="s">
        <v>32</v>
      </c>
      <c r="X301" s="80" t="s">
        <v>41</v>
      </c>
      <c r="Y301" s="76" t="s">
        <v>32</v>
      </c>
      <c r="Z301" s="68"/>
      <c r="AA301" s="70" t="s">
        <v>43</v>
      </c>
      <c r="AB301" s="73" t="e">
        <f>+VLOOKUP(A301,'[1]VALID RIM NUEVAM'!A$1:O$65536,15,0)</f>
        <v>#N/A</v>
      </c>
      <c r="AC301" s="70"/>
      <c r="AD301" s="70"/>
      <c r="AE301" s="70"/>
    </row>
    <row r="302" spans="1:31" ht="30">
      <c r="A302" s="68" t="str">
        <f t="shared" si="4"/>
        <v>78807012923SIAT S.P.A</v>
      </c>
      <c r="B302" s="69">
        <v>78807012923</v>
      </c>
      <c r="C302" s="68" t="s">
        <v>32</v>
      </c>
      <c r="D302" s="68">
        <v>8422900000</v>
      </c>
      <c r="E302" s="68" t="s">
        <v>32</v>
      </c>
      <c r="F302" s="70" t="s">
        <v>435</v>
      </c>
      <c r="G302" s="71" t="s">
        <v>32</v>
      </c>
      <c r="H302" s="70" t="s">
        <v>170</v>
      </c>
      <c r="I302" s="70" t="s">
        <v>123</v>
      </c>
      <c r="J302" s="72" t="s">
        <v>774</v>
      </c>
      <c r="K302" s="72" t="s">
        <v>124</v>
      </c>
      <c r="L302" s="73" t="s">
        <v>125</v>
      </c>
      <c r="M302" s="73" t="s">
        <v>38</v>
      </c>
      <c r="N302" s="74">
        <v>2688334</v>
      </c>
      <c r="O302" s="75" t="s">
        <v>756</v>
      </c>
      <c r="P302" s="76" t="s">
        <v>757</v>
      </c>
      <c r="Q302" s="172">
        <v>46262</v>
      </c>
      <c r="R302" s="127">
        <v>46444</v>
      </c>
      <c r="S302" s="176">
        <v>46255</v>
      </c>
      <c r="T302" s="78">
        <v>46259</v>
      </c>
      <c r="U302" s="78">
        <v>46260</v>
      </c>
      <c r="V302" s="79" t="s">
        <v>41</v>
      </c>
      <c r="W302" s="79" t="s">
        <v>32</v>
      </c>
      <c r="X302" s="80" t="s">
        <v>41</v>
      </c>
      <c r="Y302" s="76" t="s">
        <v>32</v>
      </c>
      <c r="Z302" s="68"/>
      <c r="AA302" s="70" t="s">
        <v>43</v>
      </c>
      <c r="AB302" s="73" t="e">
        <f>+VLOOKUP(A302,'[1]VALID RIM NUEVAM'!A$1:O$65536,15,0)</f>
        <v>#N/A</v>
      </c>
      <c r="AC302" s="70"/>
      <c r="AD302" s="70"/>
      <c r="AE302" s="70"/>
    </row>
    <row r="303" spans="1:31" ht="30">
      <c r="A303" s="68" t="str">
        <f t="shared" si="4"/>
        <v>78809888148SIAT S.P.A</v>
      </c>
      <c r="B303" s="69">
        <v>78809888148</v>
      </c>
      <c r="C303" s="68" t="s">
        <v>32</v>
      </c>
      <c r="D303" s="68">
        <v>8422900000</v>
      </c>
      <c r="E303" s="68" t="s">
        <v>32</v>
      </c>
      <c r="F303" s="70" t="s">
        <v>435</v>
      </c>
      <c r="G303" s="71" t="s">
        <v>32</v>
      </c>
      <c r="H303" s="70" t="s">
        <v>170</v>
      </c>
      <c r="I303" s="70" t="s">
        <v>123</v>
      </c>
      <c r="J303" s="72" t="s">
        <v>775</v>
      </c>
      <c r="K303" s="72" t="s">
        <v>124</v>
      </c>
      <c r="L303" s="73" t="s">
        <v>125</v>
      </c>
      <c r="M303" s="73" t="s">
        <v>38</v>
      </c>
      <c r="N303" s="74">
        <v>2688334</v>
      </c>
      <c r="O303" s="75" t="s">
        <v>756</v>
      </c>
      <c r="P303" s="76" t="s">
        <v>757</v>
      </c>
      <c r="Q303" s="172">
        <v>46262</v>
      </c>
      <c r="R303" s="127">
        <v>46444</v>
      </c>
      <c r="S303" s="176">
        <v>46255</v>
      </c>
      <c r="T303" s="78">
        <v>46259</v>
      </c>
      <c r="U303" s="78">
        <v>46260</v>
      </c>
      <c r="V303" s="79" t="s">
        <v>41</v>
      </c>
      <c r="W303" s="79" t="s">
        <v>32</v>
      </c>
      <c r="X303" s="80" t="s">
        <v>41</v>
      </c>
      <c r="Y303" s="76" t="s">
        <v>32</v>
      </c>
      <c r="Z303" s="68"/>
      <c r="AA303" s="70" t="s">
        <v>43</v>
      </c>
      <c r="AB303" s="73" t="e">
        <f>+VLOOKUP(A303,'[1]VALID RIM NUEVAM'!A$1:O$65536,15,0)</f>
        <v>#N/A</v>
      </c>
      <c r="AC303" s="70"/>
      <c r="AD303" s="70"/>
      <c r="AE303" s="70"/>
    </row>
    <row r="304" spans="1:31" ht="30">
      <c r="A304" s="68" t="str">
        <f t="shared" si="4"/>
        <v>78811409693SIAT S.P.A</v>
      </c>
      <c r="B304" s="69">
        <v>78811409693</v>
      </c>
      <c r="C304" s="68" t="s">
        <v>32</v>
      </c>
      <c r="D304" s="68">
        <v>8422900000</v>
      </c>
      <c r="E304" s="68" t="s">
        <v>32</v>
      </c>
      <c r="F304" s="70" t="s">
        <v>435</v>
      </c>
      <c r="G304" s="71" t="s">
        <v>32</v>
      </c>
      <c r="H304" s="70" t="s">
        <v>170</v>
      </c>
      <c r="I304" s="70" t="s">
        <v>123</v>
      </c>
      <c r="J304" s="72">
        <v>391</v>
      </c>
      <c r="K304" s="72" t="s">
        <v>124</v>
      </c>
      <c r="L304" s="73" t="s">
        <v>125</v>
      </c>
      <c r="M304" s="73" t="s">
        <v>38</v>
      </c>
      <c r="N304" s="74">
        <v>2688334</v>
      </c>
      <c r="O304" s="75" t="s">
        <v>756</v>
      </c>
      <c r="P304" s="76" t="s">
        <v>757</v>
      </c>
      <c r="Q304" s="172">
        <v>46262</v>
      </c>
      <c r="R304" s="127">
        <v>46444</v>
      </c>
      <c r="S304" s="176">
        <v>46255</v>
      </c>
      <c r="T304" s="78">
        <v>46259</v>
      </c>
      <c r="U304" s="78">
        <v>46260</v>
      </c>
      <c r="V304" s="79" t="s">
        <v>41</v>
      </c>
      <c r="W304" s="79" t="s">
        <v>32</v>
      </c>
      <c r="X304" s="80" t="s">
        <v>41</v>
      </c>
      <c r="Y304" s="76" t="s">
        <v>32</v>
      </c>
      <c r="Z304" s="68"/>
      <c r="AA304" s="70" t="s">
        <v>43</v>
      </c>
      <c r="AB304" s="73" t="e">
        <f>+VLOOKUP(A304,'[1]VALID RIM NUEVAM'!A$1:O$65536,15,0)</f>
        <v>#N/A</v>
      </c>
      <c r="AC304" s="70"/>
      <c r="AD304" s="70"/>
      <c r="AE304" s="70"/>
    </row>
    <row r="305" spans="1:31" ht="30">
      <c r="A305" s="68" t="str">
        <f t="shared" ref="A305:A339" si="5">+B305&amp;I305</f>
        <v>78811409701SIAT S.P.A</v>
      </c>
      <c r="B305" s="69">
        <v>78811409701</v>
      </c>
      <c r="C305" s="68" t="s">
        <v>32</v>
      </c>
      <c r="D305" s="68">
        <v>8422900000</v>
      </c>
      <c r="E305" s="68" t="s">
        <v>32</v>
      </c>
      <c r="F305" s="70" t="s">
        <v>435</v>
      </c>
      <c r="G305" s="71" t="s">
        <v>32</v>
      </c>
      <c r="H305" s="70" t="s">
        <v>170</v>
      </c>
      <c r="I305" s="70" t="s">
        <v>123</v>
      </c>
      <c r="J305" s="72" t="s">
        <v>776</v>
      </c>
      <c r="K305" s="72" t="s">
        <v>124</v>
      </c>
      <c r="L305" s="73" t="s">
        <v>125</v>
      </c>
      <c r="M305" s="73" t="s">
        <v>38</v>
      </c>
      <c r="N305" s="74">
        <v>2688334</v>
      </c>
      <c r="O305" s="75" t="s">
        <v>756</v>
      </c>
      <c r="P305" s="76" t="s">
        <v>757</v>
      </c>
      <c r="Q305" s="172">
        <v>46262</v>
      </c>
      <c r="R305" s="127">
        <v>46444</v>
      </c>
      <c r="S305" s="176">
        <v>46255</v>
      </c>
      <c r="T305" s="78">
        <v>46259</v>
      </c>
      <c r="U305" s="78">
        <v>46260</v>
      </c>
      <c r="V305" s="79" t="s">
        <v>41</v>
      </c>
      <c r="W305" s="79" t="s">
        <v>32</v>
      </c>
      <c r="X305" s="80" t="s">
        <v>41</v>
      </c>
      <c r="Y305" s="76" t="s">
        <v>32</v>
      </c>
      <c r="Z305" s="68"/>
      <c r="AA305" s="70" t="s">
        <v>43</v>
      </c>
      <c r="AB305" s="73" t="e">
        <f>+VLOOKUP(A305,'[1]VALID RIM NUEVAM'!A$1:O$65536,15,0)</f>
        <v>#N/A</v>
      </c>
      <c r="AC305" s="70"/>
      <c r="AD305" s="70"/>
      <c r="AE305" s="70"/>
    </row>
    <row r="306" spans="1:31" ht="30">
      <c r="A306" s="68" t="str">
        <f t="shared" si="5"/>
        <v>78813777899SIAT S.P.A</v>
      </c>
      <c r="B306" s="69">
        <v>78813777899</v>
      </c>
      <c r="C306" s="68" t="s">
        <v>32</v>
      </c>
      <c r="D306" s="68">
        <v>8422900000</v>
      </c>
      <c r="E306" s="68" t="s">
        <v>32</v>
      </c>
      <c r="F306" s="70" t="s">
        <v>435</v>
      </c>
      <c r="G306" s="71" t="s">
        <v>32</v>
      </c>
      <c r="H306" s="70" t="s">
        <v>170</v>
      </c>
      <c r="I306" s="70" t="s">
        <v>123</v>
      </c>
      <c r="J306" s="72" t="s">
        <v>777</v>
      </c>
      <c r="K306" s="72" t="s">
        <v>124</v>
      </c>
      <c r="L306" s="73" t="s">
        <v>125</v>
      </c>
      <c r="M306" s="73" t="s">
        <v>38</v>
      </c>
      <c r="N306" s="74">
        <v>2688334</v>
      </c>
      <c r="O306" s="75" t="s">
        <v>756</v>
      </c>
      <c r="P306" s="76" t="s">
        <v>757</v>
      </c>
      <c r="Q306" s="172">
        <v>46262</v>
      </c>
      <c r="R306" s="127">
        <v>46444</v>
      </c>
      <c r="S306" s="176">
        <v>46255</v>
      </c>
      <c r="T306" s="78">
        <v>46259</v>
      </c>
      <c r="U306" s="78">
        <v>46260</v>
      </c>
      <c r="V306" s="79" t="s">
        <v>41</v>
      </c>
      <c r="W306" s="79" t="s">
        <v>32</v>
      </c>
      <c r="X306" s="80" t="s">
        <v>41</v>
      </c>
      <c r="Y306" s="76" t="s">
        <v>32</v>
      </c>
      <c r="Z306" s="68"/>
      <c r="AA306" s="70" t="s">
        <v>43</v>
      </c>
      <c r="AB306" s="73" t="e">
        <f>+VLOOKUP(A306,'[1]VALID RIM NUEVAM'!A$1:O$65536,15,0)</f>
        <v>#N/A</v>
      </c>
      <c r="AC306" s="70"/>
      <c r="AD306" s="70"/>
      <c r="AE306" s="70"/>
    </row>
    <row r="307" spans="1:31" ht="30">
      <c r="A307" s="68" t="str">
        <f t="shared" si="5"/>
        <v>78809107424SIAT S.P.A</v>
      </c>
      <c r="B307" s="69">
        <v>78809107424</v>
      </c>
      <c r="C307" s="68" t="s">
        <v>32</v>
      </c>
      <c r="D307" s="68">
        <v>8422900000</v>
      </c>
      <c r="E307" s="68" t="s">
        <v>32</v>
      </c>
      <c r="F307" s="70" t="s">
        <v>169</v>
      </c>
      <c r="G307" s="71" t="s">
        <v>32</v>
      </c>
      <c r="H307" s="70" t="s">
        <v>170</v>
      </c>
      <c r="I307" s="70" t="s">
        <v>123</v>
      </c>
      <c r="J307" s="72">
        <v>60.14</v>
      </c>
      <c r="K307" s="72" t="s">
        <v>124</v>
      </c>
      <c r="L307" s="73" t="s">
        <v>125</v>
      </c>
      <c r="M307" s="73" t="s">
        <v>38</v>
      </c>
      <c r="N307" s="74">
        <v>2688334</v>
      </c>
      <c r="O307" s="75" t="s">
        <v>756</v>
      </c>
      <c r="P307" s="76" t="s">
        <v>757</v>
      </c>
      <c r="Q307" s="172">
        <v>46262</v>
      </c>
      <c r="R307" s="127">
        <v>46444</v>
      </c>
      <c r="S307" s="176">
        <v>46255</v>
      </c>
      <c r="T307" s="78">
        <v>46259</v>
      </c>
      <c r="U307" s="78">
        <v>46260</v>
      </c>
      <c r="V307" s="79" t="s">
        <v>41</v>
      </c>
      <c r="W307" s="79" t="s">
        <v>32</v>
      </c>
      <c r="X307" s="80" t="s">
        <v>41</v>
      </c>
      <c r="Y307" s="76" t="s">
        <v>32</v>
      </c>
      <c r="Z307" s="68"/>
      <c r="AA307" s="70" t="s">
        <v>43</v>
      </c>
      <c r="AB307" s="73" t="e">
        <f>+VLOOKUP(A307,'[1]VALID RIM NUEVAM'!A$1:O$65536,15,0)</f>
        <v>#N/A</v>
      </c>
      <c r="AC307" s="70"/>
      <c r="AD307" s="70"/>
      <c r="AE307" s="70"/>
    </row>
    <row r="308" spans="1:31" ht="30">
      <c r="A308" s="68" t="str">
        <f t="shared" si="5"/>
        <v>70006449626SIAT S.P.A</v>
      </c>
      <c r="B308" s="69">
        <v>70006449626</v>
      </c>
      <c r="C308" s="68" t="s">
        <v>32</v>
      </c>
      <c r="D308" s="68">
        <v>8422900000</v>
      </c>
      <c r="E308" s="68" t="s">
        <v>32</v>
      </c>
      <c r="F308" s="70" t="s">
        <v>169</v>
      </c>
      <c r="G308" s="71" t="s">
        <v>32</v>
      </c>
      <c r="H308" s="70" t="s">
        <v>170</v>
      </c>
      <c r="I308" s="70" t="s">
        <v>123</v>
      </c>
      <c r="J308" s="72">
        <v>189</v>
      </c>
      <c r="K308" s="72" t="s">
        <v>124</v>
      </c>
      <c r="L308" s="73" t="s">
        <v>125</v>
      </c>
      <c r="M308" s="73" t="s">
        <v>38</v>
      </c>
      <c r="N308" s="74">
        <v>2688334</v>
      </c>
      <c r="O308" s="75" t="s">
        <v>756</v>
      </c>
      <c r="P308" s="76" t="s">
        <v>757</v>
      </c>
      <c r="Q308" s="172">
        <v>46262</v>
      </c>
      <c r="R308" s="127">
        <v>46444</v>
      </c>
      <c r="S308" s="176">
        <v>46255</v>
      </c>
      <c r="T308" s="78">
        <v>46259</v>
      </c>
      <c r="U308" s="78">
        <v>46260</v>
      </c>
      <c r="V308" s="79" t="s">
        <v>41</v>
      </c>
      <c r="W308" s="79" t="s">
        <v>32</v>
      </c>
      <c r="X308" s="80" t="s">
        <v>41</v>
      </c>
      <c r="Y308" s="76" t="s">
        <v>32</v>
      </c>
      <c r="Z308" s="68"/>
      <c r="AA308" s="70" t="s">
        <v>43</v>
      </c>
      <c r="AB308" s="73" t="e">
        <f>+VLOOKUP(A308,'[1]VALID RIM NUEVAM'!A$1:O$65536,15,0)</f>
        <v>#N/A</v>
      </c>
      <c r="AC308" s="70"/>
      <c r="AD308" s="70"/>
      <c r="AE308" s="70"/>
    </row>
    <row r="309" spans="1:31" ht="30">
      <c r="A309" s="68" t="str">
        <f t="shared" si="5"/>
        <v>70006449634SIAT S.P.A</v>
      </c>
      <c r="B309" s="69">
        <v>70006449634</v>
      </c>
      <c r="C309" s="68" t="s">
        <v>32</v>
      </c>
      <c r="D309" s="68">
        <v>8422900000</v>
      </c>
      <c r="E309" s="68" t="s">
        <v>32</v>
      </c>
      <c r="F309" s="70" t="s">
        <v>169</v>
      </c>
      <c r="G309" s="71" t="s">
        <v>32</v>
      </c>
      <c r="H309" s="70" t="s">
        <v>170</v>
      </c>
      <c r="I309" s="70" t="s">
        <v>123</v>
      </c>
      <c r="J309" s="72">
        <v>189</v>
      </c>
      <c r="K309" s="72" t="s">
        <v>124</v>
      </c>
      <c r="L309" s="73" t="s">
        <v>125</v>
      </c>
      <c r="M309" s="73" t="s">
        <v>38</v>
      </c>
      <c r="N309" s="74">
        <v>2688334</v>
      </c>
      <c r="O309" s="75" t="s">
        <v>756</v>
      </c>
      <c r="P309" s="76" t="s">
        <v>757</v>
      </c>
      <c r="Q309" s="172">
        <v>46262</v>
      </c>
      <c r="R309" s="127">
        <v>46444</v>
      </c>
      <c r="S309" s="176">
        <v>46255</v>
      </c>
      <c r="T309" s="78">
        <v>46259</v>
      </c>
      <c r="U309" s="78">
        <v>46260</v>
      </c>
      <c r="V309" s="79" t="s">
        <v>41</v>
      </c>
      <c r="W309" s="79" t="s">
        <v>32</v>
      </c>
      <c r="X309" s="80" t="s">
        <v>41</v>
      </c>
      <c r="Y309" s="76" t="s">
        <v>32</v>
      </c>
      <c r="Z309" s="68"/>
      <c r="AA309" s="70" t="s">
        <v>43</v>
      </c>
      <c r="AB309" s="73" t="e">
        <f>+VLOOKUP(A309,'[1]VALID RIM NUEVAM'!A$1:O$65536,15,0)</f>
        <v>#N/A</v>
      </c>
      <c r="AC309" s="70"/>
      <c r="AD309" s="70"/>
      <c r="AE309" s="70"/>
    </row>
    <row r="310" spans="1:31" ht="30">
      <c r="A310" s="68" t="str">
        <f t="shared" si="5"/>
        <v>78809107440SIAT S.P.A</v>
      </c>
      <c r="B310" s="69">
        <v>78809107440</v>
      </c>
      <c r="C310" s="68" t="s">
        <v>32</v>
      </c>
      <c r="D310" s="68">
        <v>8422900000</v>
      </c>
      <c r="E310" s="68" t="s">
        <v>32</v>
      </c>
      <c r="F310" s="70" t="s">
        <v>169</v>
      </c>
      <c r="G310" s="71" t="s">
        <v>32</v>
      </c>
      <c r="H310" s="70" t="s">
        <v>170</v>
      </c>
      <c r="I310" s="70" t="s">
        <v>123</v>
      </c>
      <c r="J310" s="72">
        <v>56.29</v>
      </c>
      <c r="K310" s="72" t="s">
        <v>124</v>
      </c>
      <c r="L310" s="73" t="s">
        <v>125</v>
      </c>
      <c r="M310" s="73" t="s">
        <v>38</v>
      </c>
      <c r="N310" s="74">
        <v>2688334</v>
      </c>
      <c r="O310" s="75" t="s">
        <v>756</v>
      </c>
      <c r="P310" s="76" t="s">
        <v>757</v>
      </c>
      <c r="Q310" s="172">
        <v>46262</v>
      </c>
      <c r="R310" s="127">
        <v>46444</v>
      </c>
      <c r="S310" s="176">
        <v>46255</v>
      </c>
      <c r="T310" s="78">
        <v>46259</v>
      </c>
      <c r="U310" s="78">
        <v>46260</v>
      </c>
      <c r="V310" s="79" t="s">
        <v>41</v>
      </c>
      <c r="W310" s="79" t="s">
        <v>32</v>
      </c>
      <c r="X310" s="80" t="s">
        <v>41</v>
      </c>
      <c r="Y310" s="76" t="s">
        <v>32</v>
      </c>
      <c r="Z310" s="68"/>
      <c r="AA310" s="70" t="s">
        <v>43</v>
      </c>
      <c r="AB310" s="73" t="e">
        <f>+VLOOKUP(A310,'[1]VALID RIM NUEVAM'!A$1:O$65536,15,0)</f>
        <v>#N/A</v>
      </c>
      <c r="AC310" s="70"/>
      <c r="AD310" s="70"/>
      <c r="AE310" s="70"/>
    </row>
    <row r="311" spans="1:31" ht="30">
      <c r="A311" s="68" t="str">
        <f t="shared" si="5"/>
        <v>XA009228892SIAT S.P.A</v>
      </c>
      <c r="B311" s="69" t="s">
        <v>564</v>
      </c>
      <c r="C311" s="68" t="s">
        <v>32</v>
      </c>
      <c r="D311" s="68">
        <v>8422900000</v>
      </c>
      <c r="E311" s="68" t="s">
        <v>32</v>
      </c>
      <c r="F311" s="70" t="s">
        <v>169</v>
      </c>
      <c r="G311" s="71" t="s">
        <v>32</v>
      </c>
      <c r="H311" s="70" t="s">
        <v>170</v>
      </c>
      <c r="I311" s="70" t="s">
        <v>123</v>
      </c>
      <c r="J311" s="72">
        <v>695</v>
      </c>
      <c r="K311" s="72" t="s">
        <v>124</v>
      </c>
      <c r="L311" s="73" t="s">
        <v>125</v>
      </c>
      <c r="M311" s="73" t="s">
        <v>38</v>
      </c>
      <c r="N311" s="74">
        <v>2688334</v>
      </c>
      <c r="O311" s="75" t="s">
        <v>756</v>
      </c>
      <c r="P311" s="76" t="s">
        <v>757</v>
      </c>
      <c r="Q311" s="172">
        <v>46262</v>
      </c>
      <c r="R311" s="77">
        <v>46444</v>
      </c>
      <c r="S311" s="176">
        <v>46255</v>
      </c>
      <c r="T311" s="78">
        <v>46259</v>
      </c>
      <c r="U311" s="78">
        <v>46260</v>
      </c>
      <c r="V311" s="79" t="s">
        <v>41</v>
      </c>
      <c r="W311" s="79" t="s">
        <v>32</v>
      </c>
      <c r="X311" s="80" t="s">
        <v>41</v>
      </c>
      <c r="Y311" s="76" t="s">
        <v>32</v>
      </c>
      <c r="Z311" s="68"/>
      <c r="AA311" s="70" t="s">
        <v>43</v>
      </c>
      <c r="AB311" s="99" t="e">
        <f>+VLOOKUP(A311,'[1]VALID RIM NUEVAM'!A$1:O$65536,15,0)</f>
        <v>#N/A</v>
      </c>
      <c r="AC311" s="70"/>
      <c r="AD311" s="70"/>
      <c r="AE311" s="70"/>
    </row>
    <row r="312" spans="1:31" ht="30">
      <c r="A312" s="68" t="str">
        <f t="shared" si="5"/>
        <v>78805761810SIAT S.P.A</v>
      </c>
      <c r="B312" s="69">
        <v>78805761810</v>
      </c>
      <c r="C312" s="68" t="s">
        <v>32</v>
      </c>
      <c r="D312" s="68">
        <v>8422900000</v>
      </c>
      <c r="E312" s="68" t="s">
        <v>32</v>
      </c>
      <c r="F312" s="70" t="s">
        <v>169</v>
      </c>
      <c r="G312" s="71" t="s">
        <v>32</v>
      </c>
      <c r="H312" s="70" t="s">
        <v>170</v>
      </c>
      <c r="I312" s="70" t="s">
        <v>123</v>
      </c>
      <c r="J312" s="72">
        <v>3.82</v>
      </c>
      <c r="K312" s="72" t="s">
        <v>124</v>
      </c>
      <c r="L312" s="73" t="s">
        <v>125</v>
      </c>
      <c r="M312" s="73" t="s">
        <v>38</v>
      </c>
      <c r="N312" s="74">
        <v>2688334</v>
      </c>
      <c r="O312" s="75" t="s">
        <v>756</v>
      </c>
      <c r="P312" s="76" t="s">
        <v>757</v>
      </c>
      <c r="Q312" s="172">
        <v>46262</v>
      </c>
      <c r="R312" s="77">
        <v>46444</v>
      </c>
      <c r="S312" s="176">
        <v>46255</v>
      </c>
      <c r="T312" s="78">
        <v>46259</v>
      </c>
      <c r="U312" s="78">
        <v>46260</v>
      </c>
      <c r="V312" s="79" t="s">
        <v>41</v>
      </c>
      <c r="W312" s="79" t="s">
        <v>32</v>
      </c>
      <c r="X312" s="80" t="s">
        <v>41</v>
      </c>
      <c r="Y312" s="76" t="s">
        <v>32</v>
      </c>
      <c r="Z312" s="68"/>
      <c r="AA312" s="70" t="s">
        <v>43</v>
      </c>
      <c r="AB312" s="99" t="e">
        <f>+VLOOKUP(A312,'[1]VALID RIM NUEVAM'!A$1:O$65536,15,0)</f>
        <v>#N/A</v>
      </c>
      <c r="AC312" s="70"/>
      <c r="AD312" s="70"/>
      <c r="AE312" s="70"/>
    </row>
    <row r="313" spans="1:31" ht="30">
      <c r="A313" s="68" t="str">
        <f t="shared" si="5"/>
        <v>78805761802SIAT S.P.A</v>
      </c>
      <c r="B313" s="69">
        <v>78805761802</v>
      </c>
      <c r="C313" s="68" t="s">
        <v>32</v>
      </c>
      <c r="D313" s="68">
        <v>8422900000</v>
      </c>
      <c r="E313" s="68" t="s">
        <v>32</v>
      </c>
      <c r="F313" s="70" t="s">
        <v>169</v>
      </c>
      <c r="G313" s="71" t="s">
        <v>32</v>
      </c>
      <c r="H313" s="70" t="s">
        <v>170</v>
      </c>
      <c r="I313" s="70" t="s">
        <v>123</v>
      </c>
      <c r="J313" s="72">
        <v>7.18</v>
      </c>
      <c r="K313" s="72" t="s">
        <v>124</v>
      </c>
      <c r="L313" s="73" t="s">
        <v>125</v>
      </c>
      <c r="M313" s="73" t="s">
        <v>38</v>
      </c>
      <c r="N313" s="74">
        <v>2688334</v>
      </c>
      <c r="O313" s="75" t="s">
        <v>756</v>
      </c>
      <c r="P313" s="76" t="s">
        <v>757</v>
      </c>
      <c r="Q313" s="172">
        <v>46262</v>
      </c>
      <c r="R313" s="77">
        <v>46444</v>
      </c>
      <c r="S313" s="176">
        <v>46255</v>
      </c>
      <c r="T313" s="78">
        <v>46259</v>
      </c>
      <c r="U313" s="78">
        <v>46260</v>
      </c>
      <c r="V313" s="79" t="s">
        <v>41</v>
      </c>
      <c r="W313" s="79" t="s">
        <v>32</v>
      </c>
      <c r="X313" s="80" t="s">
        <v>41</v>
      </c>
      <c r="Y313" s="76" t="s">
        <v>32</v>
      </c>
      <c r="Z313" s="68"/>
      <c r="AA313" s="70" t="s">
        <v>43</v>
      </c>
      <c r="AB313" s="99" t="e">
        <f>+VLOOKUP(A313,'[1]VALID RIM NUEVAM'!A$1:O$65536,15,0)</f>
        <v>#N/A</v>
      </c>
      <c r="AC313" s="70"/>
      <c r="AD313" s="70"/>
      <c r="AE313" s="70"/>
    </row>
    <row r="314" spans="1:31" ht="30">
      <c r="A314" s="68" t="str">
        <f t="shared" si="5"/>
        <v>78801791324SIAT S.P.A</v>
      </c>
      <c r="B314" s="69">
        <v>78801791324</v>
      </c>
      <c r="C314" s="68" t="s">
        <v>32</v>
      </c>
      <c r="D314" s="68">
        <v>8422900000</v>
      </c>
      <c r="E314" s="68" t="s">
        <v>32</v>
      </c>
      <c r="F314" s="70" t="s">
        <v>169</v>
      </c>
      <c r="G314" s="71" t="s">
        <v>32</v>
      </c>
      <c r="H314" s="70" t="s">
        <v>170</v>
      </c>
      <c r="I314" s="70" t="s">
        <v>123</v>
      </c>
      <c r="J314" s="72">
        <v>0.97</v>
      </c>
      <c r="K314" s="72" t="s">
        <v>124</v>
      </c>
      <c r="L314" s="73" t="s">
        <v>125</v>
      </c>
      <c r="M314" s="73" t="s">
        <v>38</v>
      </c>
      <c r="N314" s="74">
        <v>2688334</v>
      </c>
      <c r="O314" s="75" t="s">
        <v>756</v>
      </c>
      <c r="P314" s="76" t="s">
        <v>757</v>
      </c>
      <c r="Q314" s="172">
        <v>46262</v>
      </c>
      <c r="R314" s="77">
        <v>46444</v>
      </c>
      <c r="S314" s="176">
        <v>46255</v>
      </c>
      <c r="T314" s="78">
        <v>46259</v>
      </c>
      <c r="U314" s="78">
        <v>46260</v>
      </c>
      <c r="V314" s="79" t="s">
        <v>41</v>
      </c>
      <c r="W314" s="79" t="s">
        <v>32</v>
      </c>
      <c r="X314" s="80" t="s">
        <v>41</v>
      </c>
      <c r="Y314" s="76" t="s">
        <v>32</v>
      </c>
      <c r="Z314" s="68"/>
      <c r="AA314" s="70" t="s">
        <v>43</v>
      </c>
      <c r="AB314" s="99" t="e">
        <f>+VLOOKUP(A314,'[1]VALID RIM NUEVAM'!A$1:O$65536,15,0)</f>
        <v>#N/A</v>
      </c>
      <c r="AC314" s="70"/>
      <c r="AD314" s="70"/>
      <c r="AE314" s="70"/>
    </row>
    <row r="315" spans="1:31" ht="30">
      <c r="A315" s="68" t="str">
        <f t="shared" si="5"/>
        <v>XA009228876SIAT S.P.A</v>
      </c>
      <c r="B315" s="69" t="s">
        <v>568</v>
      </c>
      <c r="C315" s="68" t="s">
        <v>32</v>
      </c>
      <c r="D315" s="68">
        <v>8422900000</v>
      </c>
      <c r="E315" s="68" t="s">
        <v>32</v>
      </c>
      <c r="F315" s="70" t="s">
        <v>169</v>
      </c>
      <c r="G315" s="71" t="s">
        <v>32</v>
      </c>
      <c r="H315" s="70" t="s">
        <v>170</v>
      </c>
      <c r="I315" s="70" t="s">
        <v>123</v>
      </c>
      <c r="J315" s="72">
        <v>695</v>
      </c>
      <c r="K315" s="72" t="s">
        <v>124</v>
      </c>
      <c r="L315" s="73" t="s">
        <v>125</v>
      </c>
      <c r="M315" s="73" t="s">
        <v>38</v>
      </c>
      <c r="N315" s="74">
        <v>2688334</v>
      </c>
      <c r="O315" s="75" t="s">
        <v>756</v>
      </c>
      <c r="P315" s="76" t="s">
        <v>757</v>
      </c>
      <c r="Q315" s="172">
        <v>46262</v>
      </c>
      <c r="R315" s="77">
        <v>46444</v>
      </c>
      <c r="S315" s="176">
        <v>46255</v>
      </c>
      <c r="T315" s="78">
        <v>46259</v>
      </c>
      <c r="U315" s="78">
        <v>46260</v>
      </c>
      <c r="V315" s="79" t="s">
        <v>41</v>
      </c>
      <c r="W315" s="79" t="s">
        <v>32</v>
      </c>
      <c r="X315" s="80" t="s">
        <v>41</v>
      </c>
      <c r="Y315" s="76" t="s">
        <v>32</v>
      </c>
      <c r="Z315" s="68"/>
      <c r="AA315" s="70" t="s">
        <v>43</v>
      </c>
      <c r="AB315" s="99" t="e">
        <f>+VLOOKUP(A315,'[1]VALID RIM NUEVAM'!A$1:O$65536,15,0)</f>
        <v>#N/A</v>
      </c>
      <c r="AC315" s="70"/>
      <c r="AD315" s="70"/>
      <c r="AE315" s="70"/>
    </row>
    <row r="316" spans="1:31" ht="30">
      <c r="A316" s="68" t="str">
        <f t="shared" si="5"/>
        <v>800120400463M COMPANY</v>
      </c>
      <c r="B316" s="69">
        <v>80012040046</v>
      </c>
      <c r="C316" s="68" t="s">
        <v>778</v>
      </c>
      <c r="D316" s="68" t="s">
        <v>779</v>
      </c>
      <c r="E316" s="68" t="s">
        <v>32</v>
      </c>
      <c r="F316" s="70">
        <v>3532</v>
      </c>
      <c r="G316" s="71">
        <v>47744</v>
      </c>
      <c r="H316" s="70" t="s">
        <v>122</v>
      </c>
      <c r="I316" s="70" t="s">
        <v>35</v>
      </c>
      <c r="J316" s="95">
        <v>13.2149</v>
      </c>
      <c r="K316" s="95" t="s">
        <v>36</v>
      </c>
      <c r="L316" s="95" t="s">
        <v>37</v>
      </c>
      <c r="M316" s="95" t="s">
        <v>96</v>
      </c>
      <c r="N316" s="92">
        <v>2687964</v>
      </c>
      <c r="O316" s="75" t="s">
        <v>780</v>
      </c>
      <c r="P316" s="76" t="s">
        <v>781</v>
      </c>
      <c r="Q316" s="172">
        <v>46267</v>
      </c>
      <c r="R316" s="127">
        <v>46444</v>
      </c>
      <c r="S316" s="176">
        <v>46255</v>
      </c>
      <c r="T316" s="78">
        <v>46262</v>
      </c>
      <c r="U316" s="78">
        <v>46265</v>
      </c>
      <c r="V316" s="79" t="s">
        <v>41</v>
      </c>
      <c r="W316" s="79" t="s">
        <v>32</v>
      </c>
      <c r="X316" s="80" t="s">
        <v>41</v>
      </c>
      <c r="Y316" s="76" t="s">
        <v>32</v>
      </c>
      <c r="Z316" s="68"/>
      <c r="AA316" s="70" t="s">
        <v>43</v>
      </c>
      <c r="AB316" s="99" t="e">
        <f>+VLOOKUP(A316,'[1]VALID RIM NUEVAM'!A$1:O$65536,15,0)</f>
        <v>#N/A</v>
      </c>
      <c r="AC316" s="70"/>
      <c r="AD316" s="70"/>
      <c r="AE316" s="70"/>
    </row>
    <row r="317" spans="1:31" ht="90">
      <c r="A317" s="68" t="str">
        <f t="shared" si="5"/>
        <v>788141693853M COMPANY</v>
      </c>
      <c r="B317" s="69">
        <v>78814169385</v>
      </c>
      <c r="C317" s="68" t="s">
        <v>782</v>
      </c>
      <c r="D317" s="68">
        <v>8546909000</v>
      </c>
      <c r="E317" s="68" t="s">
        <v>32</v>
      </c>
      <c r="F317" s="70">
        <v>3745</v>
      </c>
      <c r="G317" s="71">
        <v>47855</v>
      </c>
      <c r="H317" s="70" t="s">
        <v>122</v>
      </c>
      <c r="I317" s="70" t="s">
        <v>35</v>
      </c>
      <c r="J317" s="95">
        <v>23.59</v>
      </c>
      <c r="K317" s="95" t="s">
        <v>36</v>
      </c>
      <c r="L317" s="95" t="s">
        <v>590</v>
      </c>
      <c r="M317" s="95" t="s">
        <v>38</v>
      </c>
      <c r="N317" s="92">
        <v>2687964</v>
      </c>
      <c r="O317" s="75" t="s">
        <v>780</v>
      </c>
      <c r="P317" s="76" t="s">
        <v>781</v>
      </c>
      <c r="Q317" s="172">
        <v>46267</v>
      </c>
      <c r="R317" s="127">
        <v>46444</v>
      </c>
      <c r="S317" s="176">
        <v>46255</v>
      </c>
      <c r="T317" s="78">
        <v>46262</v>
      </c>
      <c r="U317" s="78">
        <v>46265</v>
      </c>
      <c r="V317" s="79" t="s">
        <v>41</v>
      </c>
      <c r="W317" s="79" t="s">
        <v>32</v>
      </c>
      <c r="X317" s="80" t="s">
        <v>41</v>
      </c>
      <c r="Y317" s="76" t="s">
        <v>32</v>
      </c>
      <c r="Z317" s="68"/>
      <c r="AA317" s="70" t="s">
        <v>43</v>
      </c>
      <c r="AB317" s="99" t="e">
        <f>+VLOOKUP(A317,'[1]VALID RIM NUEVAM'!A$1:O$65536,15,0)</f>
        <v>#N/A</v>
      </c>
      <c r="AC317" s="70"/>
      <c r="AD317" s="70"/>
      <c r="AE317" s="70"/>
    </row>
    <row r="318" spans="1:31" ht="45">
      <c r="A318" s="68" t="str">
        <f t="shared" si="5"/>
        <v>XA009225302ANHUI CHARDON ELECTRIC LIMITED</v>
      </c>
      <c r="B318" s="69" t="s">
        <v>783</v>
      </c>
      <c r="C318" s="68" t="s">
        <v>784</v>
      </c>
      <c r="D318" s="68" t="s">
        <v>239</v>
      </c>
      <c r="E318" s="68" t="s">
        <v>32</v>
      </c>
      <c r="F318" s="70">
        <v>2538</v>
      </c>
      <c r="G318" s="71">
        <v>47877</v>
      </c>
      <c r="H318" s="70" t="s">
        <v>141</v>
      </c>
      <c r="I318" s="70" t="s">
        <v>240</v>
      </c>
      <c r="J318" s="94">
        <v>156.29</v>
      </c>
      <c r="K318" s="94" t="s">
        <v>36</v>
      </c>
      <c r="L318" s="95" t="s">
        <v>305</v>
      </c>
      <c r="M318" s="95" t="s">
        <v>38</v>
      </c>
      <c r="N318" s="92">
        <v>2688402</v>
      </c>
      <c r="O318" s="75" t="s">
        <v>785</v>
      </c>
      <c r="P318" s="76" t="s">
        <v>786</v>
      </c>
      <c r="Q318" s="172">
        <v>46267</v>
      </c>
      <c r="R318" s="77">
        <v>46444</v>
      </c>
      <c r="S318" s="176">
        <v>46255</v>
      </c>
      <c r="T318" s="78">
        <v>46262</v>
      </c>
      <c r="U318" s="78">
        <v>46265</v>
      </c>
      <c r="V318" s="79" t="s">
        <v>41</v>
      </c>
      <c r="W318" s="79" t="s">
        <v>32</v>
      </c>
      <c r="X318" s="80" t="s">
        <v>41</v>
      </c>
      <c r="Y318" s="76" t="s">
        <v>32</v>
      </c>
      <c r="Z318" s="68"/>
      <c r="AA318" s="70" t="s">
        <v>43</v>
      </c>
      <c r="AB318" s="73">
        <f>+VLOOKUP(A318,'[1]VALID RIM NUEVAM'!A$1:N$65536,14,0)</f>
        <v>2688402</v>
      </c>
      <c r="AC318" s="70"/>
      <c r="AD318" s="70"/>
      <c r="AE318" s="70"/>
    </row>
    <row r="319" spans="1:31" ht="30">
      <c r="A319" s="128" t="str">
        <f t="shared" si="5"/>
        <v>800120203603M COMPANY</v>
      </c>
      <c r="B319" s="129">
        <v>80012020360</v>
      </c>
      <c r="C319" s="128" t="s">
        <v>227</v>
      </c>
      <c r="D319" s="128">
        <v>7019650000</v>
      </c>
      <c r="E319" s="128" t="s">
        <v>32</v>
      </c>
      <c r="F319" s="130">
        <v>3534</v>
      </c>
      <c r="G319" s="131">
        <v>47744</v>
      </c>
      <c r="H319" s="130" t="s">
        <v>122</v>
      </c>
      <c r="I319" s="130" t="s">
        <v>35</v>
      </c>
      <c r="J319" s="132">
        <v>5.4055</v>
      </c>
      <c r="K319" s="132" t="s">
        <v>36</v>
      </c>
      <c r="L319" s="133" t="s">
        <v>37</v>
      </c>
      <c r="M319" s="133" t="s">
        <v>96</v>
      </c>
      <c r="N319" s="92">
        <v>2687964</v>
      </c>
      <c r="O319" s="75" t="s">
        <v>780</v>
      </c>
      <c r="P319" s="76" t="s">
        <v>781</v>
      </c>
      <c r="Q319" s="172">
        <v>46267</v>
      </c>
      <c r="R319" s="127">
        <v>46444</v>
      </c>
      <c r="S319" s="176">
        <v>46255</v>
      </c>
      <c r="T319" s="78">
        <v>46262</v>
      </c>
      <c r="U319" s="78">
        <v>46265</v>
      </c>
      <c r="V319" s="79" t="s">
        <v>41</v>
      </c>
      <c r="W319" s="79" t="s">
        <v>32</v>
      </c>
      <c r="X319" s="80" t="s">
        <v>41</v>
      </c>
      <c r="Y319" s="76" t="s">
        <v>32</v>
      </c>
      <c r="Z319" s="68"/>
      <c r="AA319" s="70" t="s">
        <v>43</v>
      </c>
      <c r="AB319" s="134" t="e">
        <f>+VLOOKUP(A319,'[1]VALID RIM NUEVAM'!A$1:O$65536,15,0)</f>
        <v>#N/A</v>
      </c>
      <c r="AC319" s="130"/>
      <c r="AD319" s="130"/>
      <c r="AE319" s="130"/>
    </row>
    <row r="320" spans="1:31" ht="30">
      <c r="A320" s="128" t="str">
        <f t="shared" si="5"/>
        <v>806109226603M COMPANY</v>
      </c>
      <c r="B320" s="129">
        <v>80610922660</v>
      </c>
      <c r="C320" s="128" t="s">
        <v>192</v>
      </c>
      <c r="D320" s="128">
        <v>8546909000</v>
      </c>
      <c r="E320" s="128" t="s">
        <v>32</v>
      </c>
      <c r="F320" s="130">
        <v>3745</v>
      </c>
      <c r="G320" s="131">
        <v>47855</v>
      </c>
      <c r="H320" s="130" t="s">
        <v>122</v>
      </c>
      <c r="I320" s="130" t="s">
        <v>35</v>
      </c>
      <c r="J320" s="132">
        <v>78.350350000000006</v>
      </c>
      <c r="K320" s="135" t="s">
        <v>36</v>
      </c>
      <c r="L320" s="133" t="s">
        <v>37</v>
      </c>
      <c r="M320" s="133" t="s">
        <v>38</v>
      </c>
      <c r="N320" s="92">
        <v>2687964</v>
      </c>
      <c r="O320" s="75" t="s">
        <v>780</v>
      </c>
      <c r="P320" s="76" t="s">
        <v>781</v>
      </c>
      <c r="Q320" s="172">
        <v>46267</v>
      </c>
      <c r="R320" s="127">
        <v>46444</v>
      </c>
      <c r="S320" s="176">
        <v>46255</v>
      </c>
      <c r="T320" s="78">
        <v>46262</v>
      </c>
      <c r="U320" s="78">
        <v>46265</v>
      </c>
      <c r="V320" s="79" t="s">
        <v>41</v>
      </c>
      <c r="W320" s="79" t="s">
        <v>32</v>
      </c>
      <c r="X320" s="80" t="s">
        <v>41</v>
      </c>
      <c r="Y320" s="76" t="s">
        <v>32</v>
      </c>
      <c r="Z320" s="68"/>
      <c r="AA320" s="70" t="s">
        <v>43</v>
      </c>
      <c r="AB320" s="134" t="e">
        <f>+VLOOKUP(A320,'[1]VALID RIM NUEVAM'!A$1:O$65536,15,0)</f>
        <v>#N/A</v>
      </c>
      <c r="AC320" s="130"/>
      <c r="AD320" s="130"/>
      <c r="AE320" s="130"/>
    </row>
    <row r="321" spans="1:31" ht="30">
      <c r="A321" s="128" t="str">
        <f t="shared" si="5"/>
        <v>788141692293M COMPANY</v>
      </c>
      <c r="B321" s="129">
        <v>78814169229</v>
      </c>
      <c r="C321" s="128" t="s">
        <v>196</v>
      </c>
      <c r="D321" s="128">
        <v>8546909000</v>
      </c>
      <c r="E321" s="128" t="s">
        <v>32</v>
      </c>
      <c r="F321" s="130">
        <v>3745</v>
      </c>
      <c r="G321" s="131">
        <v>47855</v>
      </c>
      <c r="H321" s="130" t="s">
        <v>122</v>
      </c>
      <c r="I321" s="130" t="s">
        <v>35</v>
      </c>
      <c r="J321" s="132">
        <v>30.005700000000001</v>
      </c>
      <c r="K321" s="135" t="s">
        <v>36</v>
      </c>
      <c r="L321" s="133" t="s">
        <v>37</v>
      </c>
      <c r="M321" s="133" t="s">
        <v>38</v>
      </c>
      <c r="N321" s="92">
        <v>2687964</v>
      </c>
      <c r="O321" s="75" t="s">
        <v>780</v>
      </c>
      <c r="P321" s="76" t="s">
        <v>781</v>
      </c>
      <c r="Q321" s="172">
        <v>46267</v>
      </c>
      <c r="R321" s="127">
        <v>46444</v>
      </c>
      <c r="S321" s="176">
        <v>46255</v>
      </c>
      <c r="T321" s="78">
        <v>46262</v>
      </c>
      <c r="U321" s="78">
        <v>46265</v>
      </c>
      <c r="V321" s="79" t="s">
        <v>41</v>
      </c>
      <c r="W321" s="79" t="s">
        <v>32</v>
      </c>
      <c r="X321" s="80" t="s">
        <v>41</v>
      </c>
      <c r="Y321" s="76" t="s">
        <v>32</v>
      </c>
      <c r="Z321" s="68"/>
      <c r="AA321" s="70" t="s">
        <v>43</v>
      </c>
      <c r="AB321" s="134" t="e">
        <f>+VLOOKUP(A321,'[1]VALID RIM NUEVAM'!A$1:O$65536,15,0)</f>
        <v>#N/A</v>
      </c>
      <c r="AC321" s="130"/>
      <c r="AD321" s="130"/>
      <c r="AE321" s="130"/>
    </row>
    <row r="322" spans="1:31" ht="30">
      <c r="A322" s="128" t="str">
        <f t="shared" si="5"/>
        <v>806114503643M COMPANY</v>
      </c>
      <c r="B322" s="129">
        <v>80611450364</v>
      </c>
      <c r="C322" s="128" t="s">
        <v>197</v>
      </c>
      <c r="D322" s="128">
        <v>8546909000</v>
      </c>
      <c r="E322" s="128" t="s">
        <v>32</v>
      </c>
      <c r="F322" s="130">
        <v>3745</v>
      </c>
      <c r="G322" s="131">
        <v>47855</v>
      </c>
      <c r="H322" s="130" t="s">
        <v>122</v>
      </c>
      <c r="I322" s="130" t="s">
        <v>35</v>
      </c>
      <c r="J322" s="132">
        <v>109.44</v>
      </c>
      <c r="K322" s="135" t="s">
        <v>36</v>
      </c>
      <c r="L322" s="133" t="s">
        <v>37</v>
      </c>
      <c r="M322" s="133" t="s">
        <v>38</v>
      </c>
      <c r="N322" s="92">
        <v>2687964</v>
      </c>
      <c r="O322" s="75" t="s">
        <v>780</v>
      </c>
      <c r="P322" s="76" t="s">
        <v>781</v>
      </c>
      <c r="Q322" s="172">
        <v>46267</v>
      </c>
      <c r="R322" s="127">
        <v>46444</v>
      </c>
      <c r="S322" s="176">
        <v>46255</v>
      </c>
      <c r="T322" s="78">
        <v>46262</v>
      </c>
      <c r="U322" s="78">
        <v>46265</v>
      </c>
      <c r="V322" s="79" t="s">
        <v>41</v>
      </c>
      <c r="W322" s="79" t="s">
        <v>32</v>
      </c>
      <c r="X322" s="80" t="s">
        <v>41</v>
      </c>
      <c r="Y322" s="76" t="s">
        <v>32</v>
      </c>
      <c r="Z322" s="68"/>
      <c r="AA322" s="70" t="s">
        <v>43</v>
      </c>
      <c r="AB322" s="134" t="e">
        <f>+VLOOKUP(A322,'[1]VALID RIM NUEVAM'!A$1:O$65536,15,0)</f>
        <v>#N/A</v>
      </c>
      <c r="AC322" s="130"/>
      <c r="AD322" s="130"/>
      <c r="AE322" s="130"/>
    </row>
    <row r="323" spans="1:31" ht="30">
      <c r="A323" s="68" t="str">
        <f t="shared" si="5"/>
        <v>806108397083M COMPANY</v>
      </c>
      <c r="B323" s="69">
        <v>80610839708</v>
      </c>
      <c r="C323" s="68" t="s">
        <v>230</v>
      </c>
      <c r="D323" s="68">
        <v>8546909000</v>
      </c>
      <c r="E323" s="68" t="s">
        <v>32</v>
      </c>
      <c r="F323" s="70">
        <v>3745</v>
      </c>
      <c r="G323" s="71">
        <v>47855</v>
      </c>
      <c r="H323" s="70" t="s">
        <v>122</v>
      </c>
      <c r="I323" s="70" t="s">
        <v>35</v>
      </c>
      <c r="J323" s="72">
        <v>67.27</v>
      </c>
      <c r="K323" s="72" t="s">
        <v>36</v>
      </c>
      <c r="L323" s="73" t="s">
        <v>37</v>
      </c>
      <c r="M323" s="73" t="s">
        <v>38</v>
      </c>
      <c r="N323" s="92">
        <v>2687964</v>
      </c>
      <c r="O323" s="75" t="s">
        <v>780</v>
      </c>
      <c r="P323" s="76" t="s">
        <v>781</v>
      </c>
      <c r="Q323" s="172">
        <v>46267</v>
      </c>
      <c r="R323" s="127">
        <v>46444</v>
      </c>
      <c r="S323" s="176">
        <v>46255</v>
      </c>
      <c r="T323" s="78">
        <v>46262</v>
      </c>
      <c r="U323" s="78">
        <v>46265</v>
      </c>
      <c r="V323" s="79" t="s">
        <v>41</v>
      </c>
      <c r="W323" s="79" t="s">
        <v>32</v>
      </c>
      <c r="X323" s="80" t="s">
        <v>41</v>
      </c>
      <c r="Y323" s="76" t="s">
        <v>32</v>
      </c>
      <c r="Z323" s="68"/>
      <c r="AA323" s="70" t="s">
        <v>43</v>
      </c>
      <c r="AB323" s="99" t="e">
        <f>+VLOOKUP(A323,'[1]VALID RIM NUEVAM'!A$1:O$65536,15,0)</f>
        <v>#N/A</v>
      </c>
      <c r="AC323" s="70"/>
      <c r="AD323" s="70"/>
      <c r="AE323" s="70"/>
    </row>
    <row r="324" spans="1:31" ht="30">
      <c r="A324" s="128" t="str">
        <f t="shared" si="5"/>
        <v>806114504483M COMPANY</v>
      </c>
      <c r="B324" s="129">
        <v>80611450448</v>
      </c>
      <c r="C324" s="128" t="s">
        <v>231</v>
      </c>
      <c r="D324" s="128">
        <v>8546909000</v>
      </c>
      <c r="E324" s="68" t="s">
        <v>32</v>
      </c>
      <c r="F324" s="130">
        <v>3745</v>
      </c>
      <c r="G324" s="131">
        <v>47855</v>
      </c>
      <c r="H324" s="130" t="s">
        <v>122</v>
      </c>
      <c r="I324" s="130" t="s">
        <v>35</v>
      </c>
      <c r="J324" s="132">
        <v>74.926670000000001</v>
      </c>
      <c r="K324" s="132" t="s">
        <v>36</v>
      </c>
      <c r="L324" s="133" t="s">
        <v>37</v>
      </c>
      <c r="M324" s="133" t="s">
        <v>232</v>
      </c>
      <c r="N324" s="92">
        <v>2687964</v>
      </c>
      <c r="O324" s="75" t="s">
        <v>780</v>
      </c>
      <c r="P324" s="76" t="s">
        <v>781</v>
      </c>
      <c r="Q324" s="172">
        <v>46267</v>
      </c>
      <c r="R324" s="127">
        <v>46444</v>
      </c>
      <c r="S324" s="176">
        <v>46255</v>
      </c>
      <c r="T324" s="78">
        <v>46262</v>
      </c>
      <c r="U324" s="78">
        <v>46265</v>
      </c>
      <c r="V324" s="79" t="s">
        <v>41</v>
      </c>
      <c r="W324" s="79" t="s">
        <v>32</v>
      </c>
      <c r="X324" s="80" t="s">
        <v>41</v>
      </c>
      <c r="Y324" s="76" t="s">
        <v>32</v>
      </c>
      <c r="Z324" s="68"/>
      <c r="AA324" s="70" t="s">
        <v>43</v>
      </c>
      <c r="AB324" s="134" t="e">
        <f>+VLOOKUP(A324,'[1]VALID RIM NUEVAM'!A$1:O$65536,15,0)</f>
        <v>#N/A</v>
      </c>
      <c r="AC324" s="130"/>
      <c r="AD324" s="130"/>
      <c r="AE324" s="130"/>
    </row>
    <row r="325" spans="1:31" ht="30">
      <c r="A325" s="68" t="str">
        <f t="shared" si="5"/>
        <v>788141692603M COMPANY</v>
      </c>
      <c r="B325" s="69">
        <v>78814169260</v>
      </c>
      <c r="C325" s="68" t="s">
        <v>446</v>
      </c>
      <c r="D325" s="68">
        <v>8546909000</v>
      </c>
      <c r="E325" s="68" t="s">
        <v>32</v>
      </c>
      <c r="F325" s="70">
        <v>3745</v>
      </c>
      <c r="G325" s="71">
        <v>47855</v>
      </c>
      <c r="H325" s="70" t="s">
        <v>122</v>
      </c>
      <c r="I325" s="70" t="s">
        <v>35</v>
      </c>
      <c r="J325" s="72">
        <v>40.553919999999998</v>
      </c>
      <c r="K325" s="72" t="s">
        <v>36</v>
      </c>
      <c r="L325" s="73" t="s">
        <v>37</v>
      </c>
      <c r="M325" s="73" t="s">
        <v>38</v>
      </c>
      <c r="N325" s="92">
        <v>2687964</v>
      </c>
      <c r="O325" s="75" t="s">
        <v>780</v>
      </c>
      <c r="P325" s="76" t="s">
        <v>781</v>
      </c>
      <c r="Q325" s="172">
        <v>46267</v>
      </c>
      <c r="R325" s="127">
        <v>46444</v>
      </c>
      <c r="S325" s="176">
        <v>46255</v>
      </c>
      <c r="T325" s="78">
        <v>46262</v>
      </c>
      <c r="U325" s="78">
        <v>46265</v>
      </c>
      <c r="V325" s="79" t="s">
        <v>41</v>
      </c>
      <c r="W325" s="79" t="s">
        <v>32</v>
      </c>
      <c r="X325" s="80" t="s">
        <v>41</v>
      </c>
      <c r="Y325" s="76" t="s">
        <v>32</v>
      </c>
      <c r="Z325" s="68"/>
      <c r="AA325" s="70" t="s">
        <v>43</v>
      </c>
      <c r="AB325" s="99" t="e">
        <f>+VLOOKUP(A325,'[1]VALID RIM NUEVAM'!A$1:O$65536,15,0)</f>
        <v>#N/A</v>
      </c>
      <c r="AC325" s="70"/>
      <c r="AD325" s="70"/>
      <c r="AE325" s="70"/>
    </row>
    <row r="326" spans="1:31" ht="30">
      <c r="A326" s="68" t="str">
        <f t="shared" si="5"/>
        <v>806105944103M COMPANY</v>
      </c>
      <c r="B326" s="69">
        <v>80610594410</v>
      </c>
      <c r="C326" s="68" t="s">
        <v>447</v>
      </c>
      <c r="D326" s="68">
        <v>3214101000</v>
      </c>
      <c r="E326" s="68" t="s">
        <v>32</v>
      </c>
      <c r="F326" s="70">
        <v>3535</v>
      </c>
      <c r="G326" s="71">
        <v>47744</v>
      </c>
      <c r="H326" s="70" t="s">
        <v>122</v>
      </c>
      <c r="I326" s="70" t="s">
        <v>35</v>
      </c>
      <c r="J326" s="72" t="s">
        <v>448</v>
      </c>
      <c r="K326" s="72" t="s">
        <v>36</v>
      </c>
      <c r="L326" s="73" t="s">
        <v>37</v>
      </c>
      <c r="M326" s="73" t="s">
        <v>46</v>
      </c>
      <c r="N326" s="92">
        <v>2687964</v>
      </c>
      <c r="O326" s="75" t="s">
        <v>780</v>
      </c>
      <c r="P326" s="76" t="s">
        <v>781</v>
      </c>
      <c r="Q326" s="172">
        <v>46267</v>
      </c>
      <c r="R326" s="127">
        <v>46444</v>
      </c>
      <c r="S326" s="176">
        <v>46255</v>
      </c>
      <c r="T326" s="78">
        <v>46262</v>
      </c>
      <c r="U326" s="78">
        <v>46265</v>
      </c>
      <c r="V326" s="79" t="s">
        <v>41</v>
      </c>
      <c r="W326" s="79" t="s">
        <v>32</v>
      </c>
      <c r="X326" s="80" t="s">
        <v>41</v>
      </c>
      <c r="Y326" s="76" t="s">
        <v>32</v>
      </c>
      <c r="Z326" s="68"/>
      <c r="AA326" s="70" t="s">
        <v>43</v>
      </c>
      <c r="AB326" s="99" t="e">
        <f>+VLOOKUP(A326,'[1]VALID RIM NUEVAM'!A$1:O$65536,15,0)</f>
        <v>#N/A</v>
      </c>
      <c r="AC326" s="70"/>
      <c r="AD326" s="70"/>
      <c r="AE326" s="70"/>
    </row>
    <row r="327" spans="1:31" ht="30">
      <c r="A327" s="128" t="str">
        <f t="shared" si="5"/>
        <v>806108334043M COMPANY</v>
      </c>
      <c r="B327" s="129">
        <v>80610833404</v>
      </c>
      <c r="C327" s="128" t="s">
        <v>449</v>
      </c>
      <c r="D327" s="128">
        <v>4005919000</v>
      </c>
      <c r="E327" s="128" t="s">
        <v>32</v>
      </c>
      <c r="F327" s="70">
        <v>3535</v>
      </c>
      <c r="G327" s="71">
        <v>47744</v>
      </c>
      <c r="H327" s="130" t="s">
        <v>122</v>
      </c>
      <c r="I327" s="130" t="s">
        <v>35</v>
      </c>
      <c r="J327" s="135" t="s">
        <v>450</v>
      </c>
      <c r="K327" s="135" t="s">
        <v>36</v>
      </c>
      <c r="L327" s="133" t="s">
        <v>37</v>
      </c>
      <c r="M327" s="133" t="s">
        <v>96</v>
      </c>
      <c r="N327" s="92">
        <v>2687964</v>
      </c>
      <c r="O327" s="75" t="s">
        <v>780</v>
      </c>
      <c r="P327" s="76" t="s">
        <v>781</v>
      </c>
      <c r="Q327" s="172">
        <v>46267</v>
      </c>
      <c r="R327" s="127">
        <v>46444</v>
      </c>
      <c r="S327" s="176">
        <v>46255</v>
      </c>
      <c r="T327" s="78">
        <v>46262</v>
      </c>
      <c r="U327" s="78">
        <v>46265</v>
      </c>
      <c r="V327" s="79" t="s">
        <v>41</v>
      </c>
      <c r="W327" s="79" t="s">
        <v>32</v>
      </c>
      <c r="X327" s="80" t="s">
        <v>41</v>
      </c>
      <c r="Y327" s="76" t="s">
        <v>32</v>
      </c>
      <c r="Z327" s="68"/>
      <c r="AA327" s="70" t="s">
        <v>43</v>
      </c>
      <c r="AB327" s="134" t="e">
        <f>+VLOOKUP(A327,'[1]VALID RIM NUEVAM'!A$1:O$65536,15,0)</f>
        <v>#N/A</v>
      </c>
      <c r="AC327" s="130"/>
      <c r="AD327" s="130"/>
      <c r="AE327" s="130"/>
    </row>
    <row r="328" spans="1:31" ht="30">
      <c r="A328" s="68" t="str">
        <f t="shared" si="5"/>
        <v>806108334203M COMPANY</v>
      </c>
      <c r="B328" s="69">
        <v>80610833420</v>
      </c>
      <c r="C328" s="68" t="s">
        <v>451</v>
      </c>
      <c r="D328" s="68">
        <v>5907000000</v>
      </c>
      <c r="E328" s="68" t="s">
        <v>32</v>
      </c>
      <c r="F328" s="70">
        <v>3536</v>
      </c>
      <c r="G328" s="71">
        <v>47744</v>
      </c>
      <c r="H328" s="70" t="s">
        <v>122</v>
      </c>
      <c r="I328" s="70" t="s">
        <v>35</v>
      </c>
      <c r="J328" s="86" t="s">
        <v>452</v>
      </c>
      <c r="K328" s="86" t="s">
        <v>36</v>
      </c>
      <c r="L328" s="73" t="s">
        <v>37</v>
      </c>
      <c r="M328" s="73" t="s">
        <v>96</v>
      </c>
      <c r="N328" s="92">
        <v>2687964</v>
      </c>
      <c r="O328" s="75" t="s">
        <v>780</v>
      </c>
      <c r="P328" s="76" t="s">
        <v>781</v>
      </c>
      <c r="Q328" s="172">
        <v>46267</v>
      </c>
      <c r="R328" s="127">
        <v>46444</v>
      </c>
      <c r="S328" s="176">
        <v>46255</v>
      </c>
      <c r="T328" s="78">
        <v>46262</v>
      </c>
      <c r="U328" s="78">
        <v>46265</v>
      </c>
      <c r="V328" s="79" t="s">
        <v>41</v>
      </c>
      <c r="W328" s="79" t="s">
        <v>32</v>
      </c>
      <c r="X328" s="80" t="s">
        <v>41</v>
      </c>
      <c r="Y328" s="76" t="s">
        <v>32</v>
      </c>
      <c r="Z328" s="68"/>
      <c r="AA328" s="70" t="s">
        <v>43</v>
      </c>
      <c r="AB328" s="99" t="e">
        <f>+VLOOKUP(A328,'[1]VALID RIM NUEVAM'!A$1:O$65536,15,0)</f>
        <v>#N/A</v>
      </c>
      <c r="AC328" s="70"/>
      <c r="AD328" s="70"/>
      <c r="AE328" s="70"/>
    </row>
    <row r="329" spans="1:31" ht="30">
      <c r="A329" s="128" t="str">
        <f t="shared" si="5"/>
        <v>806108338003M COMPANY</v>
      </c>
      <c r="B329" s="129">
        <v>80610833800</v>
      </c>
      <c r="C329" s="128" t="s">
        <v>374</v>
      </c>
      <c r="D329" s="128">
        <v>3919100000</v>
      </c>
      <c r="E329" s="128" t="s">
        <v>32</v>
      </c>
      <c r="F329" s="70">
        <v>3536</v>
      </c>
      <c r="G329" s="131">
        <v>47744</v>
      </c>
      <c r="H329" s="130" t="s">
        <v>122</v>
      </c>
      <c r="I329" s="130" t="s">
        <v>35</v>
      </c>
      <c r="J329" s="135" t="s">
        <v>453</v>
      </c>
      <c r="K329" s="135" t="s">
        <v>36</v>
      </c>
      <c r="L329" s="133" t="s">
        <v>37</v>
      </c>
      <c r="M329" s="133" t="s">
        <v>96</v>
      </c>
      <c r="N329" s="92">
        <v>2687964</v>
      </c>
      <c r="O329" s="136" t="s">
        <v>780</v>
      </c>
      <c r="P329" s="76" t="s">
        <v>781</v>
      </c>
      <c r="Q329" s="172">
        <v>46267</v>
      </c>
      <c r="R329" s="127">
        <v>46444</v>
      </c>
      <c r="S329" s="176">
        <v>46255</v>
      </c>
      <c r="T329" s="137">
        <v>46262</v>
      </c>
      <c r="U329" s="137">
        <v>46265</v>
      </c>
      <c r="V329" s="79" t="s">
        <v>41</v>
      </c>
      <c r="W329" s="79" t="s">
        <v>32</v>
      </c>
      <c r="X329" s="80" t="s">
        <v>41</v>
      </c>
      <c r="Y329" s="76" t="s">
        <v>32</v>
      </c>
      <c r="Z329" s="68"/>
      <c r="AA329" s="70" t="s">
        <v>43</v>
      </c>
      <c r="AB329" s="134" t="e">
        <f>+VLOOKUP(A329,'[1]VALID RIM NUEVAM'!A$1:O$65536,15,0)</f>
        <v>#N/A</v>
      </c>
      <c r="AC329" s="130"/>
      <c r="AD329" s="130"/>
      <c r="AE329" s="130"/>
    </row>
    <row r="330" spans="1:31" ht="30">
      <c r="A330" s="128" t="str">
        <f t="shared" si="5"/>
        <v>806108339093M COMPANY</v>
      </c>
      <c r="B330" s="129">
        <v>80610833909</v>
      </c>
      <c r="C330" s="128" t="s">
        <v>454</v>
      </c>
      <c r="D330" s="128">
        <v>3919100000</v>
      </c>
      <c r="E330" s="128" t="s">
        <v>32</v>
      </c>
      <c r="F330" s="130">
        <v>3536</v>
      </c>
      <c r="G330" s="131">
        <v>47744</v>
      </c>
      <c r="H330" s="130" t="s">
        <v>122</v>
      </c>
      <c r="I330" s="130" t="s">
        <v>35</v>
      </c>
      <c r="J330" s="135" t="s">
        <v>455</v>
      </c>
      <c r="K330" s="135" t="s">
        <v>36</v>
      </c>
      <c r="L330" s="133" t="s">
        <v>37</v>
      </c>
      <c r="M330" s="133" t="s">
        <v>96</v>
      </c>
      <c r="N330" s="138">
        <v>2687964</v>
      </c>
      <c r="O330" s="136" t="s">
        <v>780</v>
      </c>
      <c r="P330" s="76" t="s">
        <v>781</v>
      </c>
      <c r="Q330" s="172">
        <v>46267</v>
      </c>
      <c r="R330" s="127">
        <v>46444</v>
      </c>
      <c r="S330" s="176">
        <v>46255</v>
      </c>
      <c r="T330" s="137">
        <v>46262</v>
      </c>
      <c r="U330" s="137">
        <v>46265</v>
      </c>
      <c r="V330" s="79" t="s">
        <v>41</v>
      </c>
      <c r="W330" s="79" t="s">
        <v>32</v>
      </c>
      <c r="X330" s="80" t="s">
        <v>41</v>
      </c>
      <c r="Y330" s="76" t="s">
        <v>32</v>
      </c>
      <c r="Z330" s="68"/>
      <c r="AA330" s="70" t="s">
        <v>43</v>
      </c>
      <c r="AB330" s="134" t="e">
        <f>+VLOOKUP(A330,'[1]VALID RIM NUEVAM'!A$1:O$65536,15,0)</f>
        <v>#N/A</v>
      </c>
      <c r="AC330" s="130"/>
      <c r="AD330" s="130"/>
      <c r="AE330" s="130"/>
    </row>
    <row r="331" spans="1:31" ht="30">
      <c r="A331" s="128" t="str">
        <f t="shared" si="5"/>
        <v>806108339253M COMPANY</v>
      </c>
      <c r="B331" s="129">
        <v>80610833925</v>
      </c>
      <c r="C331" s="128" t="s">
        <v>456</v>
      </c>
      <c r="D331" s="128">
        <v>3919100000</v>
      </c>
      <c r="E331" s="128" t="s">
        <v>32</v>
      </c>
      <c r="F331" s="130">
        <v>3536</v>
      </c>
      <c r="G331" s="131">
        <v>47744</v>
      </c>
      <c r="H331" s="130" t="s">
        <v>122</v>
      </c>
      <c r="I331" s="130" t="s">
        <v>35</v>
      </c>
      <c r="J331" s="135" t="s">
        <v>457</v>
      </c>
      <c r="K331" s="135" t="s">
        <v>36</v>
      </c>
      <c r="L331" s="133" t="s">
        <v>37</v>
      </c>
      <c r="M331" s="133" t="s">
        <v>96</v>
      </c>
      <c r="N331" s="138">
        <v>2687964</v>
      </c>
      <c r="O331" s="136" t="s">
        <v>780</v>
      </c>
      <c r="P331" s="139" t="s">
        <v>781</v>
      </c>
      <c r="Q331" s="160">
        <v>46267</v>
      </c>
      <c r="R331" s="141">
        <v>46444</v>
      </c>
      <c r="S331" s="162">
        <v>46255</v>
      </c>
      <c r="T331" s="137">
        <v>46262</v>
      </c>
      <c r="U331" s="137">
        <v>46265</v>
      </c>
      <c r="V331" s="142" t="s">
        <v>41</v>
      </c>
      <c r="W331" s="142" t="s">
        <v>32</v>
      </c>
      <c r="X331" s="143" t="s">
        <v>41</v>
      </c>
      <c r="Y331" s="139" t="s">
        <v>32</v>
      </c>
      <c r="Z331" s="128"/>
      <c r="AA331" s="130" t="s">
        <v>43</v>
      </c>
      <c r="AB331" s="134" t="e">
        <f>+VLOOKUP(A331,'[1]VALID RIM NUEVAM'!A$1:O$65536,15,0)</f>
        <v>#N/A</v>
      </c>
      <c r="AC331" s="130"/>
      <c r="AD331" s="130"/>
      <c r="AE331" s="130"/>
    </row>
    <row r="332" spans="1:31" ht="30">
      <c r="A332" s="128" t="str">
        <f t="shared" si="5"/>
        <v>806108339413M COMPANY</v>
      </c>
      <c r="B332" s="69">
        <v>80610833941</v>
      </c>
      <c r="C332" s="68" t="s">
        <v>458</v>
      </c>
      <c r="D332" s="68">
        <v>3919100000</v>
      </c>
      <c r="E332" s="68" t="s">
        <v>32</v>
      </c>
      <c r="F332" s="70">
        <v>3536</v>
      </c>
      <c r="G332" s="71">
        <v>47744</v>
      </c>
      <c r="H332" s="70" t="s">
        <v>122</v>
      </c>
      <c r="I332" s="70" t="s">
        <v>35</v>
      </c>
      <c r="J332" s="86" t="s">
        <v>459</v>
      </c>
      <c r="K332" s="86" t="s">
        <v>36</v>
      </c>
      <c r="L332" s="73" t="s">
        <v>37</v>
      </c>
      <c r="M332" s="73" t="s">
        <v>96</v>
      </c>
      <c r="N332" s="92">
        <v>2687964</v>
      </c>
      <c r="O332" s="75" t="s">
        <v>780</v>
      </c>
      <c r="P332" s="76" t="s">
        <v>781</v>
      </c>
      <c r="Q332" s="172">
        <v>46267</v>
      </c>
      <c r="R332" s="141">
        <v>46444</v>
      </c>
      <c r="S332" s="162">
        <v>46255</v>
      </c>
      <c r="T332" s="78">
        <v>46262</v>
      </c>
      <c r="U332" s="78">
        <v>46265</v>
      </c>
      <c r="V332" s="79" t="s">
        <v>41</v>
      </c>
      <c r="W332" s="79" t="s">
        <v>32</v>
      </c>
      <c r="X332" s="80" t="s">
        <v>41</v>
      </c>
      <c r="Y332" s="76" t="s">
        <v>32</v>
      </c>
      <c r="Z332" s="68"/>
      <c r="AA332" s="130" t="s">
        <v>43</v>
      </c>
      <c r="AB332" s="99" t="e">
        <f>+VLOOKUP(A332,'[1]VALID RIM NUEVAM'!A$1:O$65536,15,0)</f>
        <v>#N/A</v>
      </c>
      <c r="AC332" s="70"/>
      <c r="AD332" s="70"/>
      <c r="AE332" s="70"/>
    </row>
    <row r="333" spans="1:31" ht="30">
      <c r="A333" s="128" t="str">
        <f t="shared" si="5"/>
        <v>806108339663M COMPANY</v>
      </c>
      <c r="B333" s="69">
        <v>80610833966</v>
      </c>
      <c r="C333" s="68" t="s">
        <v>460</v>
      </c>
      <c r="D333" s="68">
        <v>3919100000</v>
      </c>
      <c r="E333" s="68" t="s">
        <v>32</v>
      </c>
      <c r="F333" s="70">
        <v>3536</v>
      </c>
      <c r="G333" s="71">
        <v>47744</v>
      </c>
      <c r="H333" s="70" t="s">
        <v>122</v>
      </c>
      <c r="I333" s="70" t="s">
        <v>35</v>
      </c>
      <c r="J333" s="86" t="s">
        <v>461</v>
      </c>
      <c r="K333" s="86" t="s">
        <v>36</v>
      </c>
      <c r="L333" s="73" t="s">
        <v>37</v>
      </c>
      <c r="M333" s="73" t="s">
        <v>96</v>
      </c>
      <c r="N333" s="92">
        <v>2687964</v>
      </c>
      <c r="O333" s="75" t="s">
        <v>780</v>
      </c>
      <c r="P333" s="76" t="s">
        <v>781</v>
      </c>
      <c r="Q333" s="172">
        <v>46267</v>
      </c>
      <c r="R333" s="141">
        <v>46444</v>
      </c>
      <c r="S333" s="162">
        <v>46255</v>
      </c>
      <c r="T333" s="78">
        <v>46262</v>
      </c>
      <c r="U333" s="78">
        <v>46265</v>
      </c>
      <c r="V333" s="79" t="s">
        <v>41</v>
      </c>
      <c r="W333" s="79" t="s">
        <v>32</v>
      </c>
      <c r="X333" s="80" t="s">
        <v>41</v>
      </c>
      <c r="Y333" s="76" t="s">
        <v>32</v>
      </c>
      <c r="Z333" s="68"/>
      <c r="AA333" s="130" t="s">
        <v>43</v>
      </c>
      <c r="AB333" s="99" t="e">
        <f>+VLOOKUP(A333,'[1]VALID RIM NUEVAM'!A$1:O$65536,15,0)</f>
        <v>#N/A</v>
      </c>
      <c r="AC333" s="70"/>
      <c r="AD333" s="70"/>
      <c r="AE333" s="70"/>
    </row>
    <row r="334" spans="1:31" ht="30">
      <c r="A334" s="128" t="str">
        <f t="shared" si="5"/>
        <v>806108339823M COMPANY</v>
      </c>
      <c r="B334" s="69">
        <v>80610833982</v>
      </c>
      <c r="C334" s="68" t="s">
        <v>462</v>
      </c>
      <c r="D334" s="68">
        <v>3919100000</v>
      </c>
      <c r="E334" s="68" t="s">
        <v>32</v>
      </c>
      <c r="F334" s="70">
        <v>3536</v>
      </c>
      <c r="G334" s="71">
        <v>47744</v>
      </c>
      <c r="H334" s="70" t="s">
        <v>122</v>
      </c>
      <c r="I334" s="70" t="s">
        <v>35</v>
      </c>
      <c r="J334" s="86" t="s">
        <v>463</v>
      </c>
      <c r="K334" s="86" t="s">
        <v>36</v>
      </c>
      <c r="L334" s="73" t="s">
        <v>37</v>
      </c>
      <c r="M334" s="73" t="s">
        <v>96</v>
      </c>
      <c r="N334" s="92">
        <v>2687964</v>
      </c>
      <c r="O334" s="75" t="s">
        <v>780</v>
      </c>
      <c r="P334" s="76" t="s">
        <v>781</v>
      </c>
      <c r="Q334" s="172">
        <v>46267</v>
      </c>
      <c r="R334" s="141">
        <v>46444</v>
      </c>
      <c r="S334" s="162">
        <v>46255</v>
      </c>
      <c r="T334" s="78">
        <v>46262</v>
      </c>
      <c r="U334" s="78">
        <v>46265</v>
      </c>
      <c r="V334" s="79" t="s">
        <v>41</v>
      </c>
      <c r="W334" s="79" t="s">
        <v>32</v>
      </c>
      <c r="X334" s="80" t="s">
        <v>41</v>
      </c>
      <c r="Y334" s="76" t="s">
        <v>32</v>
      </c>
      <c r="Z334" s="68"/>
      <c r="AA334" s="130" t="s">
        <v>43</v>
      </c>
      <c r="AB334" s="99" t="e">
        <f>+VLOOKUP(A334,'[1]VALID RIM NUEVAM'!A$1:O$65536,15,0)</f>
        <v>#N/A</v>
      </c>
      <c r="AC334" s="70"/>
      <c r="AD334" s="70"/>
      <c r="AE334" s="70"/>
    </row>
    <row r="335" spans="1:31" ht="30">
      <c r="A335" s="128" t="str">
        <f t="shared" si="5"/>
        <v>806108340063M COMPANY</v>
      </c>
      <c r="B335" s="129">
        <v>80610834006</v>
      </c>
      <c r="C335" s="128" t="s">
        <v>464</v>
      </c>
      <c r="D335" s="128">
        <v>3919100000</v>
      </c>
      <c r="E335" s="128" t="s">
        <v>32</v>
      </c>
      <c r="F335" s="130">
        <v>3536</v>
      </c>
      <c r="G335" s="131">
        <v>47744</v>
      </c>
      <c r="H335" s="130" t="s">
        <v>122</v>
      </c>
      <c r="I335" s="130" t="s">
        <v>35</v>
      </c>
      <c r="J335" s="135" t="s">
        <v>463</v>
      </c>
      <c r="K335" s="135" t="s">
        <v>36</v>
      </c>
      <c r="L335" s="133" t="s">
        <v>37</v>
      </c>
      <c r="M335" s="133" t="s">
        <v>96</v>
      </c>
      <c r="N335" s="138">
        <v>2687964</v>
      </c>
      <c r="O335" s="136" t="s">
        <v>780</v>
      </c>
      <c r="P335" s="139" t="s">
        <v>781</v>
      </c>
      <c r="Q335" s="160">
        <v>46267</v>
      </c>
      <c r="R335" s="141">
        <v>46444</v>
      </c>
      <c r="S335" s="162">
        <v>46255</v>
      </c>
      <c r="T335" s="137">
        <v>46262</v>
      </c>
      <c r="U335" s="137">
        <v>46265</v>
      </c>
      <c r="V335" s="142" t="s">
        <v>41</v>
      </c>
      <c r="W335" s="142" t="s">
        <v>32</v>
      </c>
      <c r="X335" s="143" t="s">
        <v>41</v>
      </c>
      <c r="Y335" s="139" t="s">
        <v>32</v>
      </c>
      <c r="Z335" s="128"/>
      <c r="AA335" s="130" t="s">
        <v>43</v>
      </c>
      <c r="AB335" s="134" t="e">
        <f>+VLOOKUP(A335,'[1]VALID RIM NUEVAM'!A$1:O$65536,15,0)</f>
        <v>#N/A</v>
      </c>
      <c r="AC335" s="130"/>
      <c r="AD335" s="130"/>
      <c r="AE335" s="130"/>
    </row>
    <row r="336" spans="1:31" ht="30">
      <c r="A336" s="128" t="str">
        <f t="shared" si="5"/>
        <v>806108340223M COMPANY</v>
      </c>
      <c r="B336" s="129">
        <v>80610834022</v>
      </c>
      <c r="C336" s="128" t="s">
        <v>465</v>
      </c>
      <c r="D336" s="128">
        <v>3919100000</v>
      </c>
      <c r="E336" s="128" t="s">
        <v>32</v>
      </c>
      <c r="F336" s="130">
        <v>3536</v>
      </c>
      <c r="G336" s="131">
        <v>47744</v>
      </c>
      <c r="H336" s="130" t="s">
        <v>122</v>
      </c>
      <c r="I336" s="130" t="s">
        <v>35</v>
      </c>
      <c r="J336" s="135" t="s">
        <v>466</v>
      </c>
      <c r="K336" s="135" t="s">
        <v>36</v>
      </c>
      <c r="L336" s="133" t="s">
        <v>37</v>
      </c>
      <c r="M336" s="133" t="s">
        <v>96</v>
      </c>
      <c r="N336" s="138">
        <v>2687964</v>
      </c>
      <c r="O336" s="136" t="s">
        <v>780</v>
      </c>
      <c r="P336" s="139" t="s">
        <v>781</v>
      </c>
      <c r="Q336" s="160">
        <v>46267</v>
      </c>
      <c r="R336" s="141">
        <v>46444</v>
      </c>
      <c r="S336" s="162">
        <v>46255</v>
      </c>
      <c r="T336" s="137">
        <v>46262</v>
      </c>
      <c r="U336" s="137">
        <v>46265</v>
      </c>
      <c r="V336" s="142" t="s">
        <v>41</v>
      </c>
      <c r="W336" s="142" t="s">
        <v>32</v>
      </c>
      <c r="X336" s="143" t="s">
        <v>41</v>
      </c>
      <c r="Y336" s="139" t="s">
        <v>32</v>
      </c>
      <c r="Z336" s="128"/>
      <c r="AA336" s="130" t="s">
        <v>43</v>
      </c>
      <c r="AB336" s="134" t="e">
        <f>+VLOOKUP(A336,'[1]VALID RIM NUEVAM'!A$1:O$65536,15,0)</f>
        <v>#N/A</v>
      </c>
      <c r="AC336" s="130"/>
      <c r="AD336" s="130"/>
      <c r="AE336" s="130"/>
    </row>
    <row r="337" spans="1:31" ht="30">
      <c r="A337" s="68" t="str">
        <f t="shared" si="5"/>
        <v>806108340483M COMPANY</v>
      </c>
      <c r="B337" s="129">
        <v>80610834048</v>
      </c>
      <c r="C337" s="128" t="s">
        <v>467</v>
      </c>
      <c r="D337" s="128">
        <v>3919100000</v>
      </c>
      <c r="E337" s="128" t="s">
        <v>32</v>
      </c>
      <c r="F337" s="130">
        <v>3536</v>
      </c>
      <c r="G337" s="131">
        <v>47744</v>
      </c>
      <c r="H337" s="130" t="s">
        <v>122</v>
      </c>
      <c r="I337" s="130" t="s">
        <v>35</v>
      </c>
      <c r="J337" s="135" t="s">
        <v>468</v>
      </c>
      <c r="K337" s="135" t="s">
        <v>36</v>
      </c>
      <c r="L337" s="133" t="s">
        <v>37</v>
      </c>
      <c r="M337" s="133" t="s">
        <v>96</v>
      </c>
      <c r="N337" s="138">
        <v>2687964</v>
      </c>
      <c r="O337" s="136" t="s">
        <v>780</v>
      </c>
      <c r="P337" s="139" t="s">
        <v>781</v>
      </c>
      <c r="Q337" s="160">
        <v>46267</v>
      </c>
      <c r="R337" s="141">
        <v>46444</v>
      </c>
      <c r="S337" s="162">
        <v>46255</v>
      </c>
      <c r="T337" s="137">
        <v>46262</v>
      </c>
      <c r="U337" s="137">
        <v>46265</v>
      </c>
      <c r="V337" s="142" t="s">
        <v>41</v>
      </c>
      <c r="W337" s="142" t="s">
        <v>32</v>
      </c>
      <c r="X337" s="143" t="s">
        <v>41</v>
      </c>
      <c r="Y337" s="139" t="s">
        <v>32</v>
      </c>
      <c r="Z337" s="128"/>
      <c r="AA337" s="130" t="s">
        <v>43</v>
      </c>
      <c r="AB337" s="134" t="e">
        <f>+VLOOKUP(A337,'[1]VALID RIM NUEVAM'!A$1:O$65536,15,0)</f>
        <v>#N/A</v>
      </c>
      <c r="AC337" s="130"/>
      <c r="AD337" s="130"/>
      <c r="AE337" s="130"/>
    </row>
    <row r="338" spans="1:31" ht="30">
      <c r="A338" s="68" t="str">
        <f t="shared" si="5"/>
        <v>806112070123M COMPANY</v>
      </c>
      <c r="B338" s="129">
        <v>80611207012</v>
      </c>
      <c r="C338" s="68" t="s">
        <v>374</v>
      </c>
      <c r="D338" s="68">
        <v>3919100000</v>
      </c>
      <c r="E338" s="68" t="s">
        <v>32</v>
      </c>
      <c r="F338" s="70">
        <v>3536</v>
      </c>
      <c r="G338" s="71">
        <v>47744</v>
      </c>
      <c r="H338" s="70" t="s">
        <v>122</v>
      </c>
      <c r="I338" s="70" t="s">
        <v>35</v>
      </c>
      <c r="J338" s="86" t="s">
        <v>469</v>
      </c>
      <c r="K338" s="86" t="s">
        <v>36</v>
      </c>
      <c r="L338" s="73" t="s">
        <v>37</v>
      </c>
      <c r="M338" s="73" t="s">
        <v>96</v>
      </c>
      <c r="N338" s="138">
        <v>2687964</v>
      </c>
      <c r="O338" s="136" t="s">
        <v>780</v>
      </c>
      <c r="P338" s="139" t="s">
        <v>781</v>
      </c>
      <c r="Q338" s="160">
        <v>46267</v>
      </c>
      <c r="R338" s="141">
        <v>46444</v>
      </c>
      <c r="S338" s="162">
        <v>46255</v>
      </c>
      <c r="T338" s="137">
        <v>46262</v>
      </c>
      <c r="U338" s="137">
        <v>46265</v>
      </c>
      <c r="V338" s="142" t="s">
        <v>41</v>
      </c>
      <c r="W338" s="142" t="s">
        <v>32</v>
      </c>
      <c r="X338" s="143" t="s">
        <v>41</v>
      </c>
      <c r="Y338" s="139" t="s">
        <v>32</v>
      </c>
      <c r="Z338" s="128"/>
      <c r="AA338" s="130" t="s">
        <v>43</v>
      </c>
      <c r="AB338" s="134" t="e">
        <f>+VLOOKUP(A338,'[1]VALID RIM NUEVAM'!A$1:O$65536,15,0)</f>
        <v>#N/A</v>
      </c>
      <c r="AC338" s="130"/>
      <c r="AD338" s="130"/>
      <c r="AE338" s="130"/>
    </row>
    <row r="339" spans="1:31" ht="30">
      <c r="A339" s="68" t="str">
        <f t="shared" si="5"/>
        <v>806114386173M COMPANY</v>
      </c>
      <c r="B339" s="129">
        <v>80611438617</v>
      </c>
      <c r="C339" s="68" t="s">
        <v>470</v>
      </c>
      <c r="D339" s="68">
        <v>3920990000</v>
      </c>
      <c r="E339" s="68" t="s">
        <v>32</v>
      </c>
      <c r="F339" s="70">
        <v>3535</v>
      </c>
      <c r="G339" s="71">
        <v>47744</v>
      </c>
      <c r="H339" s="70" t="s">
        <v>122</v>
      </c>
      <c r="I339" s="70" t="s">
        <v>35</v>
      </c>
      <c r="J339" s="86" t="s">
        <v>471</v>
      </c>
      <c r="K339" s="86" t="s">
        <v>36</v>
      </c>
      <c r="L339" s="107" t="s">
        <v>472</v>
      </c>
      <c r="M339" s="73" t="s">
        <v>96</v>
      </c>
      <c r="N339" s="138">
        <v>2687964</v>
      </c>
      <c r="O339" s="136" t="s">
        <v>780</v>
      </c>
      <c r="P339" s="139" t="s">
        <v>781</v>
      </c>
      <c r="Q339" s="160">
        <v>46267</v>
      </c>
      <c r="R339" s="141">
        <v>46444</v>
      </c>
      <c r="S339" s="162">
        <v>46255</v>
      </c>
      <c r="T339" s="137">
        <v>46262</v>
      </c>
      <c r="U339" s="137">
        <v>46265</v>
      </c>
      <c r="V339" s="142" t="s">
        <v>41</v>
      </c>
      <c r="W339" s="142" t="s">
        <v>32</v>
      </c>
      <c r="X339" s="143" t="s">
        <v>41</v>
      </c>
      <c r="Y339" s="139" t="s">
        <v>32</v>
      </c>
      <c r="Z339" s="128"/>
      <c r="AA339" s="130" t="s">
        <v>43</v>
      </c>
      <c r="AB339" s="134" t="e">
        <f>+VLOOKUP(A339,'[1]VALID RIM NUEVAM'!A$1:O$65536,15,0)</f>
        <v>#N/A</v>
      </c>
      <c r="AC339" s="130"/>
      <c r="AD339" s="130"/>
      <c r="AE339" s="130"/>
    </row>
    <row r="340" spans="1:31" ht="30">
      <c r="A340" s="68" t="s">
        <v>512</v>
      </c>
      <c r="B340" s="129" t="s">
        <v>377</v>
      </c>
      <c r="C340" s="128" t="s">
        <v>378</v>
      </c>
      <c r="D340" s="68">
        <v>4005919000</v>
      </c>
      <c r="E340" s="68" t="s">
        <v>32</v>
      </c>
      <c r="F340" s="70">
        <v>3539</v>
      </c>
      <c r="G340" s="71">
        <v>47744</v>
      </c>
      <c r="H340" s="70" t="s">
        <v>122</v>
      </c>
      <c r="I340" s="70" t="s">
        <v>35</v>
      </c>
      <c r="J340" s="72">
        <v>2</v>
      </c>
      <c r="K340" s="72" t="s">
        <v>36</v>
      </c>
      <c r="L340" s="73" t="s">
        <v>513</v>
      </c>
      <c r="M340" s="133" t="s">
        <v>96</v>
      </c>
      <c r="N340" s="138">
        <v>2687964</v>
      </c>
      <c r="O340" s="136" t="s">
        <v>780</v>
      </c>
      <c r="P340" s="139" t="s">
        <v>781</v>
      </c>
      <c r="Q340" s="160">
        <v>46267</v>
      </c>
      <c r="R340" s="141">
        <v>46444</v>
      </c>
      <c r="S340" s="162">
        <v>46255</v>
      </c>
      <c r="T340" s="137">
        <v>46262</v>
      </c>
      <c r="U340" s="137">
        <v>46265</v>
      </c>
      <c r="V340" s="142" t="s">
        <v>41</v>
      </c>
      <c r="W340" s="142" t="s">
        <v>32</v>
      </c>
      <c r="X340" s="143" t="s">
        <v>41</v>
      </c>
      <c r="Y340" s="139" t="s">
        <v>32</v>
      </c>
      <c r="Z340" s="128"/>
      <c r="AA340" s="130" t="s">
        <v>43</v>
      </c>
      <c r="AB340" s="134" t="e">
        <f>+VLOOKUP(A340,'[1]VALID RIM NUEVAM'!A$1:O$65536,15,0)</f>
        <v>#N/A</v>
      </c>
      <c r="AC340" s="130"/>
      <c r="AD340" s="130"/>
      <c r="AE340" s="130"/>
    </row>
    <row r="341" spans="1:31" ht="30">
      <c r="A341" s="68" t="s">
        <v>516</v>
      </c>
      <c r="B341" s="129" t="s">
        <v>517</v>
      </c>
      <c r="C341" s="128" t="s">
        <v>518</v>
      </c>
      <c r="D341" s="68">
        <v>3919100000</v>
      </c>
      <c r="E341" s="68" t="s">
        <v>32</v>
      </c>
      <c r="F341" s="70">
        <v>3538</v>
      </c>
      <c r="G341" s="71">
        <v>47744</v>
      </c>
      <c r="H341" s="70" t="s">
        <v>122</v>
      </c>
      <c r="I341" s="70" t="s">
        <v>35</v>
      </c>
      <c r="J341" s="72" t="s">
        <v>519</v>
      </c>
      <c r="K341" s="72" t="s">
        <v>36</v>
      </c>
      <c r="L341" s="73" t="s">
        <v>142</v>
      </c>
      <c r="M341" s="133" t="s">
        <v>96</v>
      </c>
      <c r="N341" s="138">
        <v>2687964</v>
      </c>
      <c r="O341" s="136" t="s">
        <v>780</v>
      </c>
      <c r="P341" s="139" t="s">
        <v>781</v>
      </c>
      <c r="Q341" s="160">
        <v>46267</v>
      </c>
      <c r="R341" s="141">
        <v>46444</v>
      </c>
      <c r="S341" s="162">
        <v>46255</v>
      </c>
      <c r="T341" s="137">
        <v>46262</v>
      </c>
      <c r="U341" s="137">
        <v>46265</v>
      </c>
      <c r="V341" s="142" t="s">
        <v>41</v>
      </c>
      <c r="W341" s="142" t="s">
        <v>32</v>
      </c>
      <c r="X341" s="143" t="s">
        <v>41</v>
      </c>
      <c r="Y341" s="139" t="s">
        <v>32</v>
      </c>
      <c r="Z341" s="128"/>
      <c r="AA341" s="130" t="s">
        <v>43</v>
      </c>
      <c r="AB341" s="134" t="e">
        <f>+VLOOKUP(A341,'[1]VALID RIM NUEVAM'!A$1:O$65536,15,0)</f>
        <v>#N/A</v>
      </c>
      <c r="AC341" s="130"/>
      <c r="AD341" s="130"/>
      <c r="AE341" s="130"/>
    </row>
    <row r="342" spans="1:31" ht="30">
      <c r="A342" s="68" t="s">
        <v>520</v>
      </c>
      <c r="B342" s="129" t="s">
        <v>521</v>
      </c>
      <c r="C342" s="128" t="s">
        <v>522</v>
      </c>
      <c r="D342" s="68">
        <v>3919100000</v>
      </c>
      <c r="E342" s="128" t="s">
        <v>32</v>
      </c>
      <c r="F342" s="130">
        <v>3538</v>
      </c>
      <c r="G342" s="71">
        <v>47744</v>
      </c>
      <c r="H342" s="70" t="s">
        <v>122</v>
      </c>
      <c r="I342" s="70" t="s">
        <v>35</v>
      </c>
      <c r="J342" s="132" t="s">
        <v>463</v>
      </c>
      <c r="K342" s="132" t="s">
        <v>36</v>
      </c>
      <c r="L342" s="133" t="s">
        <v>142</v>
      </c>
      <c r="M342" s="133" t="s">
        <v>96</v>
      </c>
      <c r="N342" s="138">
        <v>2687964</v>
      </c>
      <c r="O342" s="136" t="s">
        <v>780</v>
      </c>
      <c r="P342" s="139" t="s">
        <v>781</v>
      </c>
      <c r="Q342" s="160">
        <v>46267</v>
      </c>
      <c r="R342" s="141">
        <v>46444</v>
      </c>
      <c r="S342" s="162">
        <v>46255</v>
      </c>
      <c r="T342" s="137">
        <v>46262</v>
      </c>
      <c r="U342" s="137">
        <v>46265</v>
      </c>
      <c r="V342" s="142" t="s">
        <v>41</v>
      </c>
      <c r="W342" s="142" t="s">
        <v>32</v>
      </c>
      <c r="X342" s="143" t="s">
        <v>41</v>
      </c>
      <c r="Y342" s="139" t="s">
        <v>32</v>
      </c>
      <c r="Z342" s="128"/>
      <c r="AA342" s="130" t="s">
        <v>43</v>
      </c>
      <c r="AB342" s="99" t="e">
        <f>+VLOOKUP(A342,'[1]VALID RIM NUEVAM'!A$1:O$65536,15,0)</f>
        <v>#N/A</v>
      </c>
      <c r="AC342" s="130"/>
      <c r="AD342" s="130"/>
      <c r="AE342" s="130"/>
    </row>
    <row r="343" spans="1:31" ht="30">
      <c r="A343" s="68" t="s">
        <v>523</v>
      </c>
      <c r="B343" s="69" t="s">
        <v>524</v>
      </c>
      <c r="C343" s="68" t="s">
        <v>525</v>
      </c>
      <c r="D343" s="68">
        <v>3919100000</v>
      </c>
      <c r="E343" s="68" t="s">
        <v>32</v>
      </c>
      <c r="F343" s="70">
        <v>3538</v>
      </c>
      <c r="G343" s="71">
        <v>47744</v>
      </c>
      <c r="H343" s="70" t="s">
        <v>122</v>
      </c>
      <c r="I343" s="70" t="s">
        <v>35</v>
      </c>
      <c r="J343" s="72" t="s">
        <v>526</v>
      </c>
      <c r="K343" s="72" t="s">
        <v>36</v>
      </c>
      <c r="L343" s="73" t="s">
        <v>142</v>
      </c>
      <c r="M343" s="73" t="s">
        <v>96</v>
      </c>
      <c r="N343" s="138">
        <v>2687964</v>
      </c>
      <c r="O343" s="136" t="s">
        <v>780</v>
      </c>
      <c r="P343" s="139" t="s">
        <v>781</v>
      </c>
      <c r="Q343" s="160">
        <v>46267</v>
      </c>
      <c r="R343" s="141">
        <v>46444</v>
      </c>
      <c r="S343" s="162">
        <v>46255</v>
      </c>
      <c r="T343" s="137">
        <v>46262</v>
      </c>
      <c r="U343" s="137">
        <v>46265</v>
      </c>
      <c r="V343" s="142" t="s">
        <v>41</v>
      </c>
      <c r="W343" s="142" t="s">
        <v>32</v>
      </c>
      <c r="X343" s="143" t="s">
        <v>41</v>
      </c>
      <c r="Y343" s="139" t="s">
        <v>32</v>
      </c>
      <c r="Z343" s="128"/>
      <c r="AA343" s="130" t="s">
        <v>43</v>
      </c>
      <c r="AB343" s="99" t="e">
        <f>+VLOOKUP(A343,'[1]VALID RIM NUEVAM'!A$1:O$65536,15,0)</f>
        <v>#N/A</v>
      </c>
      <c r="AC343" s="70"/>
      <c r="AD343" s="70"/>
      <c r="AE343" s="70"/>
    </row>
    <row r="344" spans="1:31" ht="30">
      <c r="A344" s="68" t="s">
        <v>527</v>
      </c>
      <c r="B344" s="69" t="s">
        <v>528</v>
      </c>
      <c r="C344" s="68" t="s">
        <v>529</v>
      </c>
      <c r="D344" s="68">
        <v>3919100000</v>
      </c>
      <c r="E344" s="68" t="s">
        <v>32</v>
      </c>
      <c r="F344" s="70">
        <v>3538</v>
      </c>
      <c r="G344" s="71">
        <v>47744</v>
      </c>
      <c r="H344" s="70" t="s">
        <v>122</v>
      </c>
      <c r="I344" s="70" t="s">
        <v>35</v>
      </c>
      <c r="J344" s="72" t="s">
        <v>415</v>
      </c>
      <c r="K344" s="72" t="s">
        <v>36</v>
      </c>
      <c r="L344" s="73" t="s">
        <v>142</v>
      </c>
      <c r="M344" s="73" t="s">
        <v>96</v>
      </c>
      <c r="N344" s="138">
        <v>2687964</v>
      </c>
      <c r="O344" s="136" t="s">
        <v>780</v>
      </c>
      <c r="P344" s="139" t="s">
        <v>781</v>
      </c>
      <c r="Q344" s="160">
        <v>46267</v>
      </c>
      <c r="R344" s="141">
        <v>46444</v>
      </c>
      <c r="S344" s="162">
        <v>46255</v>
      </c>
      <c r="T344" s="137">
        <v>46262</v>
      </c>
      <c r="U344" s="137">
        <v>46265</v>
      </c>
      <c r="V344" s="142" t="s">
        <v>41</v>
      </c>
      <c r="W344" s="142" t="s">
        <v>32</v>
      </c>
      <c r="X344" s="143" t="s">
        <v>41</v>
      </c>
      <c r="Y344" s="139" t="s">
        <v>32</v>
      </c>
      <c r="Z344" s="128"/>
      <c r="AA344" s="130" t="s">
        <v>43</v>
      </c>
      <c r="AB344" s="99" t="e">
        <f>+VLOOKUP(A344,'[1]VALID RIM NUEVAM'!A$1:O$65536,15,0)</f>
        <v>#N/A</v>
      </c>
      <c r="AC344" s="70"/>
      <c r="AD344" s="70"/>
      <c r="AE344" s="70"/>
    </row>
    <row r="345" spans="1:31" ht="30">
      <c r="A345" s="68" t="s">
        <v>530</v>
      </c>
      <c r="B345" s="69" t="s">
        <v>531</v>
      </c>
      <c r="C345" s="68" t="s">
        <v>140</v>
      </c>
      <c r="D345" s="68">
        <v>3919100000</v>
      </c>
      <c r="E345" s="68" t="s">
        <v>32</v>
      </c>
      <c r="F345" s="70">
        <v>3538</v>
      </c>
      <c r="G345" s="71">
        <v>47744</v>
      </c>
      <c r="H345" s="70" t="s">
        <v>122</v>
      </c>
      <c r="I345" s="70" t="s">
        <v>35</v>
      </c>
      <c r="J345" s="72" t="s">
        <v>532</v>
      </c>
      <c r="K345" s="72" t="s">
        <v>36</v>
      </c>
      <c r="L345" s="73" t="s">
        <v>142</v>
      </c>
      <c r="M345" s="73" t="s">
        <v>96</v>
      </c>
      <c r="N345" s="138">
        <v>2687964</v>
      </c>
      <c r="O345" s="136" t="s">
        <v>780</v>
      </c>
      <c r="P345" s="139" t="s">
        <v>781</v>
      </c>
      <c r="Q345" s="160">
        <v>46267</v>
      </c>
      <c r="R345" s="141">
        <v>46444</v>
      </c>
      <c r="S345" s="162">
        <v>46255</v>
      </c>
      <c r="T345" s="137">
        <v>46262</v>
      </c>
      <c r="U345" s="137">
        <v>46265</v>
      </c>
      <c r="V345" s="142" t="s">
        <v>41</v>
      </c>
      <c r="W345" s="142" t="s">
        <v>32</v>
      </c>
      <c r="X345" s="143" t="s">
        <v>41</v>
      </c>
      <c r="Y345" s="139" t="s">
        <v>32</v>
      </c>
      <c r="Z345" s="128"/>
      <c r="AA345" s="130" t="s">
        <v>43</v>
      </c>
      <c r="AB345" s="99" t="e">
        <f>+VLOOKUP(A345,'[1]VALID RIM NUEVAM'!A$1:O$65536,15,0)</f>
        <v>#N/A</v>
      </c>
      <c r="AC345" s="70"/>
      <c r="AD345" s="70"/>
      <c r="AE345" s="70"/>
    </row>
    <row r="346" spans="1:31" ht="30">
      <c r="A346" s="68" t="s">
        <v>533</v>
      </c>
      <c r="B346" s="69" t="s">
        <v>139</v>
      </c>
      <c r="C346" s="68" t="s">
        <v>140</v>
      </c>
      <c r="D346" s="68">
        <v>3919100000</v>
      </c>
      <c r="E346" s="68" t="s">
        <v>32</v>
      </c>
      <c r="F346" s="70">
        <v>3538</v>
      </c>
      <c r="G346" s="71">
        <v>47744</v>
      </c>
      <c r="H346" s="70" t="s">
        <v>122</v>
      </c>
      <c r="I346" s="70" t="s">
        <v>35</v>
      </c>
      <c r="J346" s="72">
        <v>0.56000000000000005</v>
      </c>
      <c r="K346" s="72" t="s">
        <v>36</v>
      </c>
      <c r="L346" s="73" t="s">
        <v>142</v>
      </c>
      <c r="M346" s="73" t="s">
        <v>96</v>
      </c>
      <c r="N346" s="138">
        <v>2687964</v>
      </c>
      <c r="O346" s="136" t="s">
        <v>780</v>
      </c>
      <c r="P346" s="139" t="s">
        <v>781</v>
      </c>
      <c r="Q346" s="160">
        <v>46267</v>
      </c>
      <c r="R346" s="141">
        <v>46444</v>
      </c>
      <c r="S346" s="162">
        <v>46255</v>
      </c>
      <c r="T346" s="137">
        <v>46262</v>
      </c>
      <c r="U346" s="137">
        <v>46265</v>
      </c>
      <c r="V346" s="142" t="s">
        <v>41</v>
      </c>
      <c r="W346" s="142" t="s">
        <v>32</v>
      </c>
      <c r="X346" s="143" t="s">
        <v>41</v>
      </c>
      <c r="Y346" s="139" t="s">
        <v>32</v>
      </c>
      <c r="Z346" s="128"/>
      <c r="AA346" s="130" t="s">
        <v>43</v>
      </c>
      <c r="AB346" s="99" t="e">
        <f>+VLOOKUP(A346,'[1]VALID RIM NUEVAM'!A$1:O$65536,15,0)</f>
        <v>#N/A</v>
      </c>
      <c r="AC346" s="70"/>
      <c r="AD346" s="70"/>
      <c r="AE346" s="70"/>
    </row>
    <row r="347" spans="1:31" ht="30">
      <c r="A347" s="68" t="s">
        <v>534</v>
      </c>
      <c r="B347" s="69" t="s">
        <v>535</v>
      </c>
      <c r="C347" s="68" t="s">
        <v>536</v>
      </c>
      <c r="D347" s="68">
        <v>3919100000</v>
      </c>
      <c r="E347" s="68" t="s">
        <v>32</v>
      </c>
      <c r="F347" s="70">
        <v>3538</v>
      </c>
      <c r="G347" s="71">
        <v>47744</v>
      </c>
      <c r="H347" s="70" t="s">
        <v>122</v>
      </c>
      <c r="I347" s="70" t="s">
        <v>35</v>
      </c>
      <c r="J347" s="72" t="s">
        <v>453</v>
      </c>
      <c r="K347" s="72" t="s">
        <v>36</v>
      </c>
      <c r="L347" s="73" t="s">
        <v>142</v>
      </c>
      <c r="M347" s="73" t="s">
        <v>96</v>
      </c>
      <c r="N347" s="138">
        <v>2687964</v>
      </c>
      <c r="O347" s="136" t="s">
        <v>780</v>
      </c>
      <c r="P347" s="139" t="s">
        <v>781</v>
      </c>
      <c r="Q347" s="160">
        <v>46267</v>
      </c>
      <c r="R347" s="141">
        <v>46444</v>
      </c>
      <c r="S347" s="162">
        <v>46255</v>
      </c>
      <c r="T347" s="137">
        <v>46262</v>
      </c>
      <c r="U347" s="137">
        <v>46265</v>
      </c>
      <c r="V347" s="142" t="s">
        <v>41</v>
      </c>
      <c r="W347" s="142" t="s">
        <v>32</v>
      </c>
      <c r="X347" s="143" t="s">
        <v>41</v>
      </c>
      <c r="Y347" s="139" t="s">
        <v>32</v>
      </c>
      <c r="Z347" s="128"/>
      <c r="AA347" s="130" t="s">
        <v>43</v>
      </c>
      <c r="AB347" s="99" t="e">
        <f>+VLOOKUP(A347,'[1]VALID RIM NUEVAM'!A$1:O$65536,15,0)</f>
        <v>#N/A</v>
      </c>
      <c r="AC347" s="70"/>
      <c r="AD347" s="70"/>
      <c r="AE347" s="70"/>
    </row>
    <row r="348" spans="1:31" ht="30">
      <c r="A348" s="68" t="s">
        <v>537</v>
      </c>
      <c r="B348" s="69" t="s">
        <v>538</v>
      </c>
      <c r="C348" s="68" t="s">
        <v>539</v>
      </c>
      <c r="D348" s="68">
        <v>3919100000</v>
      </c>
      <c r="E348" s="68" t="s">
        <v>32</v>
      </c>
      <c r="F348" s="70">
        <v>3538</v>
      </c>
      <c r="G348" s="71">
        <v>47744</v>
      </c>
      <c r="H348" s="70" t="s">
        <v>122</v>
      </c>
      <c r="I348" s="70" t="s">
        <v>35</v>
      </c>
      <c r="J348" s="72" t="s">
        <v>453</v>
      </c>
      <c r="K348" s="72" t="s">
        <v>36</v>
      </c>
      <c r="L348" s="73" t="s">
        <v>142</v>
      </c>
      <c r="M348" s="73" t="s">
        <v>96</v>
      </c>
      <c r="N348" s="138">
        <v>2687964</v>
      </c>
      <c r="O348" s="136" t="s">
        <v>780</v>
      </c>
      <c r="P348" s="139" t="s">
        <v>781</v>
      </c>
      <c r="Q348" s="160">
        <v>46267</v>
      </c>
      <c r="R348" s="141">
        <v>46444</v>
      </c>
      <c r="S348" s="162">
        <v>46255</v>
      </c>
      <c r="T348" s="137">
        <v>46262</v>
      </c>
      <c r="U348" s="137">
        <v>46265</v>
      </c>
      <c r="V348" s="142" t="s">
        <v>41</v>
      </c>
      <c r="W348" s="142" t="s">
        <v>32</v>
      </c>
      <c r="X348" s="143" t="s">
        <v>41</v>
      </c>
      <c r="Y348" s="139" t="s">
        <v>32</v>
      </c>
      <c r="Z348" s="128"/>
      <c r="AA348" s="130" t="s">
        <v>43</v>
      </c>
      <c r="AB348" s="68" t="e">
        <f>+VLOOKUP(A348,'[1]VALID RIM NUEVAM'!A$1:O$65536,15,0)</f>
        <v>#N/A</v>
      </c>
      <c r="AC348" s="70"/>
      <c r="AD348" s="70"/>
      <c r="AE348" s="70"/>
    </row>
    <row r="349" spans="1:31" ht="30">
      <c r="A349" s="68" t="s">
        <v>540</v>
      </c>
      <c r="B349" s="69" t="s">
        <v>541</v>
      </c>
      <c r="C349" s="68" t="s">
        <v>542</v>
      </c>
      <c r="D349" s="68">
        <v>3919100000</v>
      </c>
      <c r="E349" s="68" t="s">
        <v>32</v>
      </c>
      <c r="F349" s="70">
        <v>3538</v>
      </c>
      <c r="G349" s="71">
        <v>47744</v>
      </c>
      <c r="H349" s="70" t="s">
        <v>122</v>
      </c>
      <c r="I349" s="70" t="s">
        <v>35</v>
      </c>
      <c r="J349" s="72" t="s">
        <v>463</v>
      </c>
      <c r="K349" s="72" t="s">
        <v>36</v>
      </c>
      <c r="L349" s="73" t="s">
        <v>142</v>
      </c>
      <c r="M349" s="73" t="s">
        <v>96</v>
      </c>
      <c r="N349" s="138">
        <v>2687964</v>
      </c>
      <c r="O349" s="136" t="s">
        <v>780</v>
      </c>
      <c r="P349" s="139" t="s">
        <v>781</v>
      </c>
      <c r="Q349" s="160">
        <v>46267</v>
      </c>
      <c r="R349" s="141">
        <v>46444</v>
      </c>
      <c r="S349" s="162">
        <v>46255</v>
      </c>
      <c r="T349" s="137">
        <v>46262</v>
      </c>
      <c r="U349" s="137">
        <v>46265</v>
      </c>
      <c r="V349" s="142" t="s">
        <v>41</v>
      </c>
      <c r="W349" s="142" t="s">
        <v>32</v>
      </c>
      <c r="X349" s="143" t="s">
        <v>41</v>
      </c>
      <c r="Y349" s="139" t="s">
        <v>32</v>
      </c>
      <c r="Z349" s="128"/>
      <c r="AA349" s="130" t="s">
        <v>43</v>
      </c>
      <c r="AB349" s="68" t="e">
        <f>+VLOOKUP(A349,'[1]VALID RIM NUEVAM'!A$1:O$65536,15,0)</f>
        <v>#N/A</v>
      </c>
      <c r="AC349" s="70"/>
      <c r="AD349" s="70"/>
      <c r="AE349" s="70"/>
    </row>
    <row r="350" spans="1:31" ht="30">
      <c r="A350" s="68" t="s">
        <v>543</v>
      </c>
      <c r="B350" s="69" t="s">
        <v>544</v>
      </c>
      <c r="C350" s="68" t="s">
        <v>545</v>
      </c>
      <c r="D350" s="68">
        <v>3919100000</v>
      </c>
      <c r="E350" s="68" t="s">
        <v>32</v>
      </c>
      <c r="F350" s="70">
        <v>3538</v>
      </c>
      <c r="G350" s="71">
        <v>47744</v>
      </c>
      <c r="H350" s="70" t="s">
        <v>122</v>
      </c>
      <c r="I350" s="70" t="s">
        <v>35</v>
      </c>
      <c r="J350" s="72" t="s">
        <v>546</v>
      </c>
      <c r="K350" s="72" t="s">
        <v>36</v>
      </c>
      <c r="L350" s="73" t="s">
        <v>142</v>
      </c>
      <c r="M350" s="73" t="s">
        <v>96</v>
      </c>
      <c r="N350" s="138">
        <v>2687964</v>
      </c>
      <c r="O350" s="136" t="s">
        <v>780</v>
      </c>
      <c r="P350" s="139" t="s">
        <v>781</v>
      </c>
      <c r="Q350" s="160">
        <v>46267</v>
      </c>
      <c r="R350" s="141">
        <v>46444</v>
      </c>
      <c r="S350" s="162">
        <v>46255</v>
      </c>
      <c r="T350" s="137">
        <v>46262</v>
      </c>
      <c r="U350" s="137">
        <v>46265</v>
      </c>
      <c r="V350" s="142" t="s">
        <v>41</v>
      </c>
      <c r="W350" s="142" t="s">
        <v>32</v>
      </c>
      <c r="X350" s="143" t="s">
        <v>41</v>
      </c>
      <c r="Y350" s="139" t="s">
        <v>32</v>
      </c>
      <c r="Z350" s="128"/>
      <c r="AA350" s="130" t="s">
        <v>43</v>
      </c>
      <c r="AB350" s="68" t="e">
        <f>+VLOOKUP(A350,'[1]VALID RIM NUEVAM'!A$1:O$65536,15,0)</f>
        <v>#N/A</v>
      </c>
      <c r="AC350" s="70"/>
      <c r="AD350" s="70"/>
      <c r="AE350" s="70"/>
    </row>
    <row r="351" spans="1:31" ht="30">
      <c r="A351" s="68" t="s">
        <v>547</v>
      </c>
      <c r="B351" s="69" t="s">
        <v>548</v>
      </c>
      <c r="C351" s="68" t="s">
        <v>140</v>
      </c>
      <c r="D351" s="68">
        <v>3919100000</v>
      </c>
      <c r="E351" s="68" t="s">
        <v>32</v>
      </c>
      <c r="F351" s="70">
        <v>3538</v>
      </c>
      <c r="G351" s="71">
        <v>47744</v>
      </c>
      <c r="H351" s="70" t="s">
        <v>122</v>
      </c>
      <c r="I351" s="70" t="s">
        <v>35</v>
      </c>
      <c r="J351" s="72">
        <v>1</v>
      </c>
      <c r="K351" s="72" t="s">
        <v>36</v>
      </c>
      <c r="L351" s="73" t="s">
        <v>549</v>
      </c>
      <c r="M351" s="73" t="s">
        <v>96</v>
      </c>
      <c r="N351" s="138">
        <v>2687964</v>
      </c>
      <c r="O351" s="136" t="s">
        <v>780</v>
      </c>
      <c r="P351" s="139" t="s">
        <v>781</v>
      </c>
      <c r="Q351" s="160">
        <v>46267</v>
      </c>
      <c r="R351" s="141">
        <v>46444</v>
      </c>
      <c r="S351" s="162">
        <v>46255</v>
      </c>
      <c r="T351" s="137">
        <v>46262</v>
      </c>
      <c r="U351" s="137">
        <v>46265</v>
      </c>
      <c r="V351" s="142" t="s">
        <v>41</v>
      </c>
      <c r="W351" s="142" t="s">
        <v>32</v>
      </c>
      <c r="X351" s="143" t="s">
        <v>41</v>
      </c>
      <c r="Y351" s="139" t="s">
        <v>32</v>
      </c>
      <c r="Z351" s="128"/>
      <c r="AA351" s="130" t="s">
        <v>43</v>
      </c>
      <c r="AB351" s="68" t="e">
        <f>+VLOOKUP(A351,'[1]VALID RIM NUEVAM'!A$1:O$65536,15,0)</f>
        <v>#N/A</v>
      </c>
      <c r="AC351" s="70"/>
      <c r="AD351" s="70"/>
      <c r="AE351" s="70"/>
    </row>
    <row r="352" spans="1:31" ht="30">
      <c r="A352" s="68" t="s">
        <v>550</v>
      </c>
      <c r="B352" s="69" t="s">
        <v>551</v>
      </c>
      <c r="C352" s="68" t="s">
        <v>536</v>
      </c>
      <c r="D352" s="68">
        <v>3919100000</v>
      </c>
      <c r="E352" s="68" t="s">
        <v>32</v>
      </c>
      <c r="F352" s="70">
        <v>3538</v>
      </c>
      <c r="G352" s="71">
        <v>47744</v>
      </c>
      <c r="H352" s="70" t="s">
        <v>122</v>
      </c>
      <c r="I352" s="70" t="s">
        <v>35</v>
      </c>
      <c r="J352" s="72" t="s">
        <v>552</v>
      </c>
      <c r="K352" s="72" t="s">
        <v>36</v>
      </c>
      <c r="L352" s="73" t="s">
        <v>553</v>
      </c>
      <c r="M352" s="73" t="s">
        <v>96</v>
      </c>
      <c r="N352" s="138">
        <v>2687964</v>
      </c>
      <c r="O352" s="136" t="s">
        <v>780</v>
      </c>
      <c r="P352" s="139" t="s">
        <v>781</v>
      </c>
      <c r="Q352" s="160">
        <v>46267</v>
      </c>
      <c r="R352" s="141">
        <v>46444</v>
      </c>
      <c r="S352" s="162">
        <v>46255</v>
      </c>
      <c r="T352" s="137">
        <v>46262</v>
      </c>
      <c r="U352" s="137">
        <v>46265</v>
      </c>
      <c r="V352" s="142" t="s">
        <v>41</v>
      </c>
      <c r="W352" s="142" t="s">
        <v>32</v>
      </c>
      <c r="X352" s="143" t="s">
        <v>41</v>
      </c>
      <c r="Y352" s="139" t="s">
        <v>32</v>
      </c>
      <c r="Z352" s="128"/>
      <c r="AA352" s="130" t="s">
        <v>43</v>
      </c>
      <c r="AB352" s="68" t="e">
        <f>+VLOOKUP(A352,'[1]VALID RIM NUEVAM'!A$1:O$65536,15,0)</f>
        <v>#N/A</v>
      </c>
      <c r="AC352" s="70"/>
      <c r="AD352" s="70"/>
      <c r="AE352" s="70"/>
    </row>
    <row r="353" spans="1:31" ht="30">
      <c r="A353" s="68" t="s">
        <v>554</v>
      </c>
      <c r="B353" s="69" t="s">
        <v>555</v>
      </c>
      <c r="C353" s="68" t="s">
        <v>522</v>
      </c>
      <c r="D353" s="68">
        <v>3919100000</v>
      </c>
      <c r="E353" s="68" t="s">
        <v>32</v>
      </c>
      <c r="F353" s="70">
        <v>3538</v>
      </c>
      <c r="G353" s="71">
        <v>47744</v>
      </c>
      <c r="H353" s="70" t="s">
        <v>122</v>
      </c>
      <c r="I353" s="70" t="s">
        <v>35</v>
      </c>
      <c r="J353" s="72" t="s">
        <v>552</v>
      </c>
      <c r="K353" s="72" t="s">
        <v>36</v>
      </c>
      <c r="L353" s="73" t="s">
        <v>553</v>
      </c>
      <c r="M353" s="73" t="s">
        <v>96</v>
      </c>
      <c r="N353" s="138">
        <v>2687964</v>
      </c>
      <c r="O353" s="136" t="s">
        <v>780</v>
      </c>
      <c r="P353" s="139" t="s">
        <v>781</v>
      </c>
      <c r="Q353" s="160">
        <v>46267</v>
      </c>
      <c r="R353" s="141">
        <v>46444</v>
      </c>
      <c r="S353" s="162">
        <v>46255</v>
      </c>
      <c r="T353" s="137">
        <v>46262</v>
      </c>
      <c r="U353" s="137">
        <v>46265</v>
      </c>
      <c r="V353" s="142" t="s">
        <v>41</v>
      </c>
      <c r="W353" s="142" t="s">
        <v>32</v>
      </c>
      <c r="X353" s="143" t="s">
        <v>41</v>
      </c>
      <c r="Y353" s="139" t="s">
        <v>32</v>
      </c>
      <c r="Z353" s="128"/>
      <c r="AA353" s="130" t="s">
        <v>43</v>
      </c>
      <c r="AB353" s="68" t="e">
        <f>+VLOOKUP(A353,'[1]VALID RIM NUEVAM'!A$1:O$65536,15,0)</f>
        <v>#N/A</v>
      </c>
      <c r="AC353" s="70"/>
      <c r="AD353" s="70"/>
      <c r="AE353" s="70"/>
    </row>
    <row r="354" spans="1:31" ht="30">
      <c r="A354" s="68" t="s">
        <v>556</v>
      </c>
      <c r="B354" s="69" t="s">
        <v>557</v>
      </c>
      <c r="C354" s="68" t="s">
        <v>542</v>
      </c>
      <c r="D354" s="68">
        <v>3919100000</v>
      </c>
      <c r="E354" s="68" t="s">
        <v>32</v>
      </c>
      <c r="F354" s="70">
        <v>3538</v>
      </c>
      <c r="G354" s="71">
        <v>47744</v>
      </c>
      <c r="H354" s="70" t="s">
        <v>122</v>
      </c>
      <c r="I354" s="70" t="s">
        <v>35</v>
      </c>
      <c r="J354" s="72" t="s">
        <v>552</v>
      </c>
      <c r="K354" s="72" t="s">
        <v>36</v>
      </c>
      <c r="L354" s="73" t="s">
        <v>553</v>
      </c>
      <c r="M354" s="73" t="s">
        <v>96</v>
      </c>
      <c r="N354" s="138">
        <v>2687964</v>
      </c>
      <c r="O354" s="136" t="s">
        <v>780</v>
      </c>
      <c r="P354" s="139" t="s">
        <v>781</v>
      </c>
      <c r="Q354" s="160">
        <v>46267</v>
      </c>
      <c r="R354" s="141">
        <v>46444</v>
      </c>
      <c r="S354" s="162">
        <v>46255</v>
      </c>
      <c r="T354" s="137">
        <v>46262</v>
      </c>
      <c r="U354" s="137">
        <v>46265</v>
      </c>
      <c r="V354" s="142" t="s">
        <v>41</v>
      </c>
      <c r="W354" s="142" t="s">
        <v>32</v>
      </c>
      <c r="X354" s="143" t="s">
        <v>41</v>
      </c>
      <c r="Y354" s="139" t="s">
        <v>32</v>
      </c>
      <c r="Z354" s="128"/>
      <c r="AA354" s="130" t="s">
        <v>43</v>
      </c>
      <c r="AB354" s="68" t="e">
        <f>+VLOOKUP(A354,'[1]VALID RIM NUEVAM'!A$1:O$65536,15,0)</f>
        <v>#N/A</v>
      </c>
      <c r="AC354" s="70"/>
      <c r="AD354" s="70"/>
      <c r="AE354" s="70"/>
    </row>
    <row r="355" spans="1:31" ht="30">
      <c r="A355" s="68" t="s">
        <v>558</v>
      </c>
      <c r="B355" s="69" t="s">
        <v>559</v>
      </c>
      <c r="C355" s="68" t="s">
        <v>518</v>
      </c>
      <c r="D355" s="68">
        <v>3919100000</v>
      </c>
      <c r="E355" s="68" t="s">
        <v>32</v>
      </c>
      <c r="F355" s="70">
        <v>3538</v>
      </c>
      <c r="G355" s="71">
        <v>47744</v>
      </c>
      <c r="H355" s="70" t="s">
        <v>122</v>
      </c>
      <c r="I355" s="70" t="s">
        <v>35</v>
      </c>
      <c r="J355" s="72" t="s">
        <v>552</v>
      </c>
      <c r="K355" s="72" t="s">
        <v>36</v>
      </c>
      <c r="L355" s="73" t="s">
        <v>553</v>
      </c>
      <c r="M355" s="73" t="s">
        <v>96</v>
      </c>
      <c r="N355" s="138">
        <v>2687964</v>
      </c>
      <c r="O355" s="136" t="s">
        <v>780</v>
      </c>
      <c r="P355" s="139" t="s">
        <v>781</v>
      </c>
      <c r="Q355" s="160">
        <v>46267</v>
      </c>
      <c r="R355" s="141">
        <v>46444</v>
      </c>
      <c r="S355" s="162">
        <v>46255</v>
      </c>
      <c r="T355" s="137">
        <v>46262</v>
      </c>
      <c r="U355" s="137">
        <v>46265</v>
      </c>
      <c r="V355" s="142" t="s">
        <v>41</v>
      </c>
      <c r="W355" s="142" t="s">
        <v>32</v>
      </c>
      <c r="X355" s="143" t="s">
        <v>41</v>
      </c>
      <c r="Y355" s="139" t="s">
        <v>32</v>
      </c>
      <c r="Z355" s="128"/>
      <c r="AA355" s="130" t="s">
        <v>43</v>
      </c>
      <c r="AB355" s="68" t="e">
        <f>+VLOOKUP(A355,'[1]VALID RIM NUEVAM'!A$1:O$65536,15,0)</f>
        <v>#N/A</v>
      </c>
      <c r="AC355" s="70"/>
      <c r="AD355" s="70"/>
      <c r="AE355" s="70"/>
    </row>
    <row r="356" spans="1:31" ht="30">
      <c r="A356" s="68" t="s">
        <v>560</v>
      </c>
      <c r="B356" s="69" t="s">
        <v>561</v>
      </c>
      <c r="C356" s="68" t="s">
        <v>140</v>
      </c>
      <c r="D356" s="68">
        <v>3919100000</v>
      </c>
      <c r="E356" s="68" t="s">
        <v>32</v>
      </c>
      <c r="F356" s="70">
        <v>3538</v>
      </c>
      <c r="G356" s="71">
        <v>47744</v>
      </c>
      <c r="H356" s="70" t="s">
        <v>122</v>
      </c>
      <c r="I356" s="70" t="s">
        <v>35</v>
      </c>
      <c r="J356" s="72" t="s">
        <v>552</v>
      </c>
      <c r="K356" s="72" t="s">
        <v>36</v>
      </c>
      <c r="L356" s="73" t="s">
        <v>553</v>
      </c>
      <c r="M356" s="73" t="s">
        <v>96</v>
      </c>
      <c r="N356" s="138">
        <v>2687964</v>
      </c>
      <c r="O356" s="136" t="s">
        <v>780</v>
      </c>
      <c r="P356" s="139" t="s">
        <v>781</v>
      </c>
      <c r="Q356" s="160">
        <v>46267</v>
      </c>
      <c r="R356" s="141">
        <v>46444</v>
      </c>
      <c r="S356" s="162">
        <v>46255</v>
      </c>
      <c r="T356" s="137">
        <v>46262</v>
      </c>
      <c r="U356" s="137">
        <v>46265</v>
      </c>
      <c r="V356" s="142" t="s">
        <v>41</v>
      </c>
      <c r="W356" s="142" t="s">
        <v>32</v>
      </c>
      <c r="X356" s="143" t="s">
        <v>41</v>
      </c>
      <c r="Y356" s="139" t="s">
        <v>32</v>
      </c>
      <c r="Z356" s="128"/>
      <c r="AA356" s="130" t="s">
        <v>43</v>
      </c>
      <c r="AB356" s="68" t="e">
        <f>+VLOOKUP(A356,'[1]VALID RIM NUEVAM'!A$1:O$65536,15,0)</f>
        <v>#N/A</v>
      </c>
      <c r="AC356" s="70"/>
      <c r="AD356" s="70"/>
      <c r="AE356" s="70"/>
    </row>
    <row r="357" spans="1:31" ht="30">
      <c r="A357" s="68" t="s">
        <v>562</v>
      </c>
      <c r="B357" s="69" t="s">
        <v>563</v>
      </c>
      <c r="C357" s="68" t="s">
        <v>539</v>
      </c>
      <c r="D357" s="68">
        <v>3919100000</v>
      </c>
      <c r="E357" s="68" t="s">
        <v>32</v>
      </c>
      <c r="F357" s="70">
        <v>3538</v>
      </c>
      <c r="G357" s="71">
        <v>47744</v>
      </c>
      <c r="H357" s="70" t="s">
        <v>122</v>
      </c>
      <c r="I357" s="70" t="s">
        <v>35</v>
      </c>
      <c r="J357" s="72" t="s">
        <v>552</v>
      </c>
      <c r="K357" s="72" t="s">
        <v>36</v>
      </c>
      <c r="L357" s="73" t="s">
        <v>553</v>
      </c>
      <c r="M357" s="73" t="s">
        <v>96</v>
      </c>
      <c r="N357" s="138">
        <v>2687964</v>
      </c>
      <c r="O357" s="136" t="s">
        <v>780</v>
      </c>
      <c r="P357" s="139" t="s">
        <v>781</v>
      </c>
      <c r="Q357" s="160">
        <v>46267</v>
      </c>
      <c r="R357" s="141">
        <v>46444</v>
      </c>
      <c r="S357" s="162">
        <v>46255</v>
      </c>
      <c r="T357" s="137">
        <v>46262</v>
      </c>
      <c r="U357" s="137">
        <v>46265</v>
      </c>
      <c r="V357" s="142" t="s">
        <v>41</v>
      </c>
      <c r="W357" s="142" t="s">
        <v>32</v>
      </c>
      <c r="X357" s="143" t="s">
        <v>41</v>
      </c>
      <c r="Y357" s="139" t="s">
        <v>32</v>
      </c>
      <c r="Z357" s="128"/>
      <c r="AA357" s="130" t="s">
        <v>43</v>
      </c>
      <c r="AB357" s="68" t="e">
        <f>+VLOOKUP(A357,'[1]VALID RIM NUEVAM'!A$1:O$65536,15,0)</f>
        <v>#N/A</v>
      </c>
      <c r="AC357" s="70"/>
      <c r="AD357" s="70"/>
      <c r="AE357" s="70"/>
    </row>
    <row r="358" spans="1:31" ht="30">
      <c r="A358" s="68" t="s">
        <v>569</v>
      </c>
      <c r="B358" s="69" t="s">
        <v>570</v>
      </c>
      <c r="C358" s="68" t="s">
        <v>140</v>
      </c>
      <c r="D358" s="68">
        <v>3919100000</v>
      </c>
      <c r="E358" s="68" t="s">
        <v>32</v>
      </c>
      <c r="F358" s="70">
        <v>3538</v>
      </c>
      <c r="G358" s="71">
        <v>47744</v>
      </c>
      <c r="H358" s="70" t="s">
        <v>122</v>
      </c>
      <c r="I358" s="70" t="s">
        <v>35</v>
      </c>
      <c r="J358" s="72">
        <v>2</v>
      </c>
      <c r="K358" s="72" t="s">
        <v>36</v>
      </c>
      <c r="L358" s="73" t="s">
        <v>571</v>
      </c>
      <c r="M358" s="73" t="s">
        <v>96</v>
      </c>
      <c r="N358" s="138">
        <v>2687964</v>
      </c>
      <c r="O358" s="136" t="s">
        <v>780</v>
      </c>
      <c r="P358" s="139" t="s">
        <v>781</v>
      </c>
      <c r="Q358" s="160">
        <v>46267</v>
      </c>
      <c r="R358" s="141">
        <v>46444</v>
      </c>
      <c r="S358" s="162">
        <v>46255</v>
      </c>
      <c r="T358" s="137">
        <v>46262</v>
      </c>
      <c r="U358" s="137">
        <v>46265</v>
      </c>
      <c r="V358" s="142" t="s">
        <v>41</v>
      </c>
      <c r="W358" s="142" t="s">
        <v>32</v>
      </c>
      <c r="X358" s="143" t="s">
        <v>41</v>
      </c>
      <c r="Y358" s="139" t="s">
        <v>32</v>
      </c>
      <c r="Z358" s="128"/>
      <c r="AA358" s="130" t="s">
        <v>43</v>
      </c>
      <c r="AB358" s="68" t="e">
        <f>+VLOOKUP(A358,'[1]VALID RIM NUEVAM'!A$1:O$65536,15,0)</f>
        <v>#N/A</v>
      </c>
      <c r="AC358" s="70"/>
      <c r="AD358" s="70"/>
      <c r="AE358" s="70"/>
    </row>
    <row r="359" spans="1:31" ht="45">
      <c r="A359" s="68" t="s">
        <v>236</v>
      </c>
      <c r="B359" s="69" t="s">
        <v>237</v>
      </c>
      <c r="C359" s="68" t="s">
        <v>238</v>
      </c>
      <c r="D359" s="68" t="s">
        <v>239</v>
      </c>
      <c r="E359" s="68" t="s">
        <v>32</v>
      </c>
      <c r="F359" s="70">
        <v>2538</v>
      </c>
      <c r="G359" s="71">
        <v>47877</v>
      </c>
      <c r="H359" s="70" t="s">
        <v>141</v>
      </c>
      <c r="I359" s="70" t="s">
        <v>240</v>
      </c>
      <c r="J359" s="72">
        <v>81.12</v>
      </c>
      <c r="K359" s="72" t="s">
        <v>36</v>
      </c>
      <c r="L359" s="95" t="s">
        <v>305</v>
      </c>
      <c r="M359" s="95" t="s">
        <v>38</v>
      </c>
      <c r="N359" s="138">
        <v>2688402</v>
      </c>
      <c r="O359" s="136" t="s">
        <v>785</v>
      </c>
      <c r="P359" s="139" t="s">
        <v>786</v>
      </c>
      <c r="Q359" s="160">
        <v>46267</v>
      </c>
      <c r="R359" s="140">
        <v>46444</v>
      </c>
      <c r="S359" s="162">
        <v>46255</v>
      </c>
      <c r="T359" s="137">
        <v>46262</v>
      </c>
      <c r="U359" s="137">
        <v>46265</v>
      </c>
      <c r="V359" s="142" t="s">
        <v>41</v>
      </c>
      <c r="W359" s="142" t="s">
        <v>32</v>
      </c>
      <c r="X359" s="143" t="s">
        <v>41</v>
      </c>
      <c r="Y359" s="139" t="s">
        <v>32</v>
      </c>
      <c r="Z359" s="128"/>
      <c r="AA359" s="130" t="s">
        <v>43</v>
      </c>
      <c r="AB359" s="73">
        <f>+VLOOKUP(A359,'[1]VALID RIM NUEVAM'!A$1:N$65536,14,0)</f>
        <v>2688402</v>
      </c>
      <c r="AC359" s="70"/>
      <c r="AD359" s="70"/>
      <c r="AE359" s="70"/>
    </row>
    <row r="360" spans="1:31" ht="45">
      <c r="A360" s="68" t="s">
        <v>245</v>
      </c>
      <c r="B360" s="69" t="s">
        <v>246</v>
      </c>
      <c r="C360" s="68" t="s">
        <v>247</v>
      </c>
      <c r="D360" s="68" t="s">
        <v>239</v>
      </c>
      <c r="E360" s="68" t="s">
        <v>32</v>
      </c>
      <c r="F360" s="70">
        <v>2538</v>
      </c>
      <c r="G360" s="71">
        <v>47877</v>
      </c>
      <c r="H360" s="70" t="s">
        <v>141</v>
      </c>
      <c r="I360" s="70" t="s">
        <v>240</v>
      </c>
      <c r="J360" s="72">
        <v>327.64999999999998</v>
      </c>
      <c r="K360" s="72" t="s">
        <v>36</v>
      </c>
      <c r="L360" s="95" t="s">
        <v>305</v>
      </c>
      <c r="M360" s="95" t="s">
        <v>38</v>
      </c>
      <c r="N360" s="138">
        <v>2688402</v>
      </c>
      <c r="O360" s="136" t="s">
        <v>785</v>
      </c>
      <c r="P360" s="139" t="s">
        <v>786</v>
      </c>
      <c r="Q360" s="160">
        <v>46267</v>
      </c>
      <c r="R360" s="140">
        <v>46444</v>
      </c>
      <c r="S360" s="162">
        <v>46255</v>
      </c>
      <c r="T360" s="137">
        <v>46262</v>
      </c>
      <c r="U360" s="137">
        <v>46265</v>
      </c>
      <c r="V360" s="142" t="s">
        <v>41</v>
      </c>
      <c r="W360" s="142" t="s">
        <v>32</v>
      </c>
      <c r="X360" s="143" t="s">
        <v>41</v>
      </c>
      <c r="Y360" s="139" t="s">
        <v>32</v>
      </c>
      <c r="Z360" s="128"/>
      <c r="AA360" s="130" t="s">
        <v>43</v>
      </c>
      <c r="AB360" s="73">
        <f>+VLOOKUP(A360,'[1]VALID RIM NUEVAM'!A$1:N$65536,14,0)</f>
        <v>2688402</v>
      </c>
      <c r="AC360" s="70"/>
      <c r="AD360" s="70"/>
      <c r="AE360" s="70"/>
    </row>
    <row r="361" spans="1:31" ht="45">
      <c r="A361" s="68" t="s">
        <v>248</v>
      </c>
      <c r="B361" s="69" t="s">
        <v>249</v>
      </c>
      <c r="C361" s="68" t="s">
        <v>787</v>
      </c>
      <c r="D361" s="68" t="s">
        <v>239</v>
      </c>
      <c r="E361" s="68" t="s">
        <v>32</v>
      </c>
      <c r="F361" s="70">
        <v>2538</v>
      </c>
      <c r="G361" s="71">
        <v>47877</v>
      </c>
      <c r="H361" s="70" t="s">
        <v>141</v>
      </c>
      <c r="I361" s="70" t="s">
        <v>240</v>
      </c>
      <c r="J361" s="72">
        <v>86.66</v>
      </c>
      <c r="K361" s="72" t="s">
        <v>36</v>
      </c>
      <c r="L361" s="95" t="s">
        <v>305</v>
      </c>
      <c r="M361" s="95" t="s">
        <v>38</v>
      </c>
      <c r="N361" s="138">
        <v>2688402</v>
      </c>
      <c r="O361" s="136" t="s">
        <v>785</v>
      </c>
      <c r="P361" s="139" t="s">
        <v>786</v>
      </c>
      <c r="Q361" s="160">
        <v>46267</v>
      </c>
      <c r="R361" s="140">
        <v>46444</v>
      </c>
      <c r="S361" s="162">
        <v>46255</v>
      </c>
      <c r="T361" s="137">
        <v>46262</v>
      </c>
      <c r="U361" s="137">
        <v>46265</v>
      </c>
      <c r="V361" s="142" t="s">
        <v>41</v>
      </c>
      <c r="W361" s="142" t="s">
        <v>32</v>
      </c>
      <c r="X361" s="143" t="s">
        <v>41</v>
      </c>
      <c r="Y361" s="139" t="s">
        <v>32</v>
      </c>
      <c r="Z361" s="128"/>
      <c r="AA361" s="130" t="s">
        <v>43</v>
      </c>
      <c r="AB361" s="73">
        <f>+VLOOKUP(A361,'[1]VALID RIM NUEVAM'!A$1:N$65536,14,0)</f>
        <v>2688402</v>
      </c>
      <c r="AC361" s="70"/>
      <c r="AD361" s="70"/>
      <c r="AE361" s="70"/>
    </row>
    <row r="362" spans="1:31" ht="45">
      <c r="A362" s="68" t="s">
        <v>251</v>
      </c>
      <c r="B362" s="69" t="s">
        <v>252</v>
      </c>
      <c r="C362" s="68" t="s">
        <v>253</v>
      </c>
      <c r="D362" s="68" t="s">
        <v>239</v>
      </c>
      <c r="E362" s="68" t="s">
        <v>32</v>
      </c>
      <c r="F362" s="70">
        <v>2538</v>
      </c>
      <c r="G362" s="71">
        <v>47877</v>
      </c>
      <c r="H362" s="70" t="s">
        <v>141</v>
      </c>
      <c r="I362" s="70" t="s">
        <v>240</v>
      </c>
      <c r="J362" s="72">
        <v>276.73</v>
      </c>
      <c r="K362" s="72" t="s">
        <v>36</v>
      </c>
      <c r="L362" s="95" t="s">
        <v>305</v>
      </c>
      <c r="M362" s="95" t="s">
        <v>38</v>
      </c>
      <c r="N362" s="138">
        <v>2688402</v>
      </c>
      <c r="O362" s="136" t="s">
        <v>785</v>
      </c>
      <c r="P362" s="139" t="s">
        <v>786</v>
      </c>
      <c r="Q362" s="160">
        <v>46267</v>
      </c>
      <c r="R362" s="140">
        <v>46444</v>
      </c>
      <c r="S362" s="162">
        <v>46255</v>
      </c>
      <c r="T362" s="137">
        <v>46262</v>
      </c>
      <c r="U362" s="137">
        <v>46265</v>
      </c>
      <c r="V362" s="142" t="s">
        <v>41</v>
      </c>
      <c r="W362" s="142" t="s">
        <v>32</v>
      </c>
      <c r="X362" s="143" t="s">
        <v>41</v>
      </c>
      <c r="Y362" s="139" t="s">
        <v>32</v>
      </c>
      <c r="Z362" s="128"/>
      <c r="AA362" s="130" t="s">
        <v>43</v>
      </c>
      <c r="AB362" s="73">
        <f>+VLOOKUP(A362,'[1]VALID RIM NUEVAM'!A$1:N$65536,14,0)</f>
        <v>2688402</v>
      </c>
      <c r="AC362" s="70"/>
      <c r="AD362" s="70"/>
      <c r="AE362" s="70"/>
    </row>
    <row r="363" spans="1:31" ht="45">
      <c r="A363" s="128" t="s">
        <v>254</v>
      </c>
      <c r="B363" s="129" t="s">
        <v>255</v>
      </c>
      <c r="C363" s="128" t="s">
        <v>256</v>
      </c>
      <c r="D363" s="128" t="s">
        <v>239</v>
      </c>
      <c r="E363" s="128" t="s">
        <v>32</v>
      </c>
      <c r="F363" s="130">
        <v>2538</v>
      </c>
      <c r="G363" s="131">
        <v>47877</v>
      </c>
      <c r="H363" s="130" t="s">
        <v>141</v>
      </c>
      <c r="I363" s="130" t="s">
        <v>240</v>
      </c>
      <c r="J363" s="132">
        <v>49.53</v>
      </c>
      <c r="K363" s="132" t="s">
        <v>36</v>
      </c>
      <c r="L363" s="144" t="s">
        <v>305</v>
      </c>
      <c r="M363" s="144" t="s">
        <v>38</v>
      </c>
      <c r="N363" s="138">
        <v>2688402</v>
      </c>
      <c r="O363" s="136" t="s">
        <v>785</v>
      </c>
      <c r="P363" s="139" t="s">
        <v>786</v>
      </c>
      <c r="Q363" s="160">
        <v>46267</v>
      </c>
      <c r="R363" s="140">
        <v>46444</v>
      </c>
      <c r="S363" s="162">
        <v>46255</v>
      </c>
      <c r="T363" s="137">
        <v>46262</v>
      </c>
      <c r="U363" s="137">
        <v>46265</v>
      </c>
      <c r="V363" s="142" t="s">
        <v>41</v>
      </c>
      <c r="W363" s="142" t="s">
        <v>32</v>
      </c>
      <c r="X363" s="143" t="s">
        <v>41</v>
      </c>
      <c r="Y363" s="139" t="s">
        <v>32</v>
      </c>
      <c r="Z363" s="128"/>
      <c r="AA363" s="130" t="s">
        <v>43</v>
      </c>
      <c r="AB363" s="133">
        <f>+VLOOKUP(A363,'[1]VALID RIM NUEVAM'!A$1:N$65536,14,0)</f>
        <v>2688402</v>
      </c>
      <c r="AC363" s="130"/>
      <c r="AD363" s="130"/>
      <c r="AE363" s="130"/>
    </row>
    <row r="364" spans="1:31" ht="45">
      <c r="A364" s="68" t="s">
        <v>257</v>
      </c>
      <c r="B364" s="69" t="s">
        <v>258</v>
      </c>
      <c r="C364" s="68" t="s">
        <v>259</v>
      </c>
      <c r="D364" s="68" t="s">
        <v>239</v>
      </c>
      <c r="E364" s="68" t="s">
        <v>32</v>
      </c>
      <c r="F364" s="70">
        <v>2538</v>
      </c>
      <c r="G364" s="71">
        <v>47877</v>
      </c>
      <c r="H364" s="70" t="s">
        <v>141</v>
      </c>
      <c r="I364" s="70" t="s">
        <v>240</v>
      </c>
      <c r="J364" s="72">
        <v>75.03</v>
      </c>
      <c r="K364" s="72" t="s">
        <v>36</v>
      </c>
      <c r="L364" s="95" t="s">
        <v>305</v>
      </c>
      <c r="M364" s="95" t="s">
        <v>38</v>
      </c>
      <c r="N364" s="138">
        <v>2688402</v>
      </c>
      <c r="O364" s="136" t="s">
        <v>785</v>
      </c>
      <c r="P364" s="139" t="s">
        <v>786</v>
      </c>
      <c r="Q364" s="160">
        <v>46267</v>
      </c>
      <c r="R364" s="140">
        <v>46444</v>
      </c>
      <c r="S364" s="162">
        <v>46255</v>
      </c>
      <c r="T364" s="137">
        <v>46262</v>
      </c>
      <c r="U364" s="137">
        <v>46265</v>
      </c>
      <c r="V364" s="142" t="s">
        <v>41</v>
      </c>
      <c r="W364" s="142" t="s">
        <v>32</v>
      </c>
      <c r="X364" s="143" t="s">
        <v>41</v>
      </c>
      <c r="Y364" s="139" t="s">
        <v>32</v>
      </c>
      <c r="Z364" s="128"/>
      <c r="AA364" s="130" t="s">
        <v>43</v>
      </c>
      <c r="AB364" s="73">
        <f>+VLOOKUP(A364,'[1]VALID RIM NUEVAM'!A$1:N$65536,14,0)</f>
        <v>2688402</v>
      </c>
      <c r="AC364" s="70"/>
      <c r="AD364" s="70"/>
      <c r="AE364" s="70"/>
    </row>
    <row r="365" spans="1:31" ht="45">
      <c r="A365" s="68" t="s">
        <v>260</v>
      </c>
      <c r="B365" s="69" t="s">
        <v>261</v>
      </c>
      <c r="C365" s="68" t="s">
        <v>262</v>
      </c>
      <c r="D365" s="68" t="s">
        <v>239</v>
      </c>
      <c r="E365" s="68" t="s">
        <v>32</v>
      </c>
      <c r="F365" s="70">
        <v>2538</v>
      </c>
      <c r="G365" s="71">
        <v>47877</v>
      </c>
      <c r="H365" s="70" t="s">
        <v>141</v>
      </c>
      <c r="I365" s="70" t="s">
        <v>240</v>
      </c>
      <c r="J365" s="72">
        <v>26.36</v>
      </c>
      <c r="K365" s="72" t="s">
        <v>36</v>
      </c>
      <c r="L365" s="95" t="s">
        <v>305</v>
      </c>
      <c r="M365" s="95" t="s">
        <v>38</v>
      </c>
      <c r="N365" s="138">
        <v>2688402</v>
      </c>
      <c r="O365" s="136" t="s">
        <v>785</v>
      </c>
      <c r="P365" s="139" t="s">
        <v>786</v>
      </c>
      <c r="Q365" s="160">
        <v>46267</v>
      </c>
      <c r="R365" s="140">
        <v>46444</v>
      </c>
      <c r="S365" s="162">
        <v>46255</v>
      </c>
      <c r="T365" s="137">
        <v>46262</v>
      </c>
      <c r="U365" s="137">
        <v>46265</v>
      </c>
      <c r="V365" s="142" t="s">
        <v>41</v>
      </c>
      <c r="W365" s="142" t="s">
        <v>32</v>
      </c>
      <c r="X365" s="143" t="s">
        <v>41</v>
      </c>
      <c r="Y365" s="139" t="s">
        <v>32</v>
      </c>
      <c r="Z365" s="128"/>
      <c r="AA365" s="130" t="s">
        <v>43</v>
      </c>
      <c r="AB365" s="73">
        <f>+VLOOKUP(A365,'[1]VALID RIM NUEVAM'!A$1:N$65536,14,0)</f>
        <v>2688402</v>
      </c>
      <c r="AC365" s="70"/>
      <c r="AD365" s="70"/>
      <c r="AE365" s="70"/>
    </row>
    <row r="366" spans="1:31" ht="45">
      <c r="A366" s="68" t="s">
        <v>264</v>
      </c>
      <c r="B366" s="69" t="s">
        <v>265</v>
      </c>
      <c r="C366" s="68" t="s">
        <v>266</v>
      </c>
      <c r="D366" s="68">
        <v>8547909000</v>
      </c>
      <c r="E366" s="68" t="s">
        <v>32</v>
      </c>
      <c r="F366" s="70">
        <v>2538</v>
      </c>
      <c r="G366" s="71">
        <v>47877</v>
      </c>
      <c r="H366" s="70" t="s">
        <v>141</v>
      </c>
      <c r="I366" s="70" t="s">
        <v>240</v>
      </c>
      <c r="J366" s="72">
        <v>21.96</v>
      </c>
      <c r="K366" s="72" t="s">
        <v>36</v>
      </c>
      <c r="L366" s="95" t="s">
        <v>305</v>
      </c>
      <c r="M366" s="95" t="s">
        <v>38</v>
      </c>
      <c r="N366" s="138">
        <v>2688402</v>
      </c>
      <c r="O366" s="136" t="s">
        <v>785</v>
      </c>
      <c r="P366" s="139" t="s">
        <v>786</v>
      </c>
      <c r="Q366" s="160">
        <v>46267</v>
      </c>
      <c r="R366" s="140">
        <v>46444</v>
      </c>
      <c r="S366" s="162">
        <v>46255</v>
      </c>
      <c r="T366" s="137">
        <v>46262</v>
      </c>
      <c r="U366" s="137">
        <v>46265</v>
      </c>
      <c r="V366" s="142" t="s">
        <v>41</v>
      </c>
      <c r="W366" s="142" t="s">
        <v>32</v>
      </c>
      <c r="X366" s="143" t="s">
        <v>41</v>
      </c>
      <c r="Y366" s="139" t="s">
        <v>32</v>
      </c>
      <c r="Z366" s="128"/>
      <c r="AA366" s="130" t="s">
        <v>43</v>
      </c>
      <c r="AB366" s="73">
        <f>+VLOOKUP(A366,'[1]VALID RIM NUEVAM'!A$1:N$65536,14,0)</f>
        <v>2688402</v>
      </c>
      <c r="AC366" s="70"/>
      <c r="AD366" s="70"/>
      <c r="AE366" s="70"/>
    </row>
    <row r="367" spans="1:31" ht="45">
      <c r="A367" s="68" t="s">
        <v>268</v>
      </c>
      <c r="B367" s="69" t="s">
        <v>269</v>
      </c>
      <c r="C367" s="68" t="s">
        <v>270</v>
      </c>
      <c r="D367" s="68">
        <v>8547909000</v>
      </c>
      <c r="E367" s="68" t="s">
        <v>32</v>
      </c>
      <c r="F367" s="70">
        <v>2538</v>
      </c>
      <c r="G367" s="71">
        <v>47877</v>
      </c>
      <c r="H367" s="70" t="s">
        <v>141</v>
      </c>
      <c r="I367" s="70" t="s">
        <v>240</v>
      </c>
      <c r="J367" s="72">
        <v>20.86</v>
      </c>
      <c r="K367" s="72" t="s">
        <v>36</v>
      </c>
      <c r="L367" s="95" t="s">
        <v>305</v>
      </c>
      <c r="M367" s="95" t="s">
        <v>38</v>
      </c>
      <c r="N367" s="138">
        <v>2688402</v>
      </c>
      <c r="O367" s="136" t="s">
        <v>785</v>
      </c>
      <c r="P367" s="139" t="s">
        <v>786</v>
      </c>
      <c r="Q367" s="160">
        <v>46267</v>
      </c>
      <c r="R367" s="140">
        <v>46444</v>
      </c>
      <c r="S367" s="162">
        <v>46255</v>
      </c>
      <c r="T367" s="137">
        <v>46262</v>
      </c>
      <c r="U367" s="137">
        <v>46265</v>
      </c>
      <c r="V367" s="142" t="s">
        <v>41</v>
      </c>
      <c r="W367" s="142" t="s">
        <v>32</v>
      </c>
      <c r="X367" s="143" t="s">
        <v>41</v>
      </c>
      <c r="Y367" s="139" t="s">
        <v>32</v>
      </c>
      <c r="Z367" s="128"/>
      <c r="AA367" s="130" t="s">
        <v>43</v>
      </c>
      <c r="AB367" s="73">
        <f>+VLOOKUP(A367,'[1]VALID RIM NUEVAM'!A$1:N$65536,14,0)</f>
        <v>2688402</v>
      </c>
      <c r="AC367" s="70"/>
      <c r="AD367" s="70"/>
      <c r="AE367" s="70"/>
    </row>
    <row r="368" spans="1:31" ht="45">
      <c r="A368" s="68" t="s">
        <v>271</v>
      </c>
      <c r="B368" s="69" t="s">
        <v>272</v>
      </c>
      <c r="C368" s="68" t="s">
        <v>273</v>
      </c>
      <c r="D368" s="68">
        <v>8547909000</v>
      </c>
      <c r="E368" s="68" t="s">
        <v>32</v>
      </c>
      <c r="F368" s="70">
        <v>2538</v>
      </c>
      <c r="G368" s="71">
        <v>47877</v>
      </c>
      <c r="H368" s="70" t="s">
        <v>141</v>
      </c>
      <c r="I368" s="70" t="s">
        <v>240</v>
      </c>
      <c r="J368" s="72">
        <v>20.86</v>
      </c>
      <c r="K368" s="72" t="s">
        <v>36</v>
      </c>
      <c r="L368" s="95" t="s">
        <v>305</v>
      </c>
      <c r="M368" s="95" t="s">
        <v>38</v>
      </c>
      <c r="N368" s="138">
        <v>2688402</v>
      </c>
      <c r="O368" s="136" t="s">
        <v>785</v>
      </c>
      <c r="P368" s="139" t="s">
        <v>786</v>
      </c>
      <c r="Q368" s="160">
        <v>46267</v>
      </c>
      <c r="R368" s="140">
        <v>46444</v>
      </c>
      <c r="S368" s="162">
        <v>46255</v>
      </c>
      <c r="T368" s="137">
        <v>46262</v>
      </c>
      <c r="U368" s="137">
        <v>46265</v>
      </c>
      <c r="V368" s="142" t="s">
        <v>41</v>
      </c>
      <c r="W368" s="142" t="s">
        <v>32</v>
      </c>
      <c r="X368" s="143" t="s">
        <v>41</v>
      </c>
      <c r="Y368" s="139" t="s">
        <v>32</v>
      </c>
      <c r="Z368" s="128"/>
      <c r="AA368" s="130" t="s">
        <v>43</v>
      </c>
      <c r="AB368" s="73">
        <f>+VLOOKUP(A368,'[1]VALID RIM NUEVAM'!A$1:N$65536,14,0)</f>
        <v>2688402</v>
      </c>
      <c r="AC368" s="70"/>
      <c r="AD368" s="70"/>
      <c r="AE368" s="70"/>
    </row>
    <row r="369" spans="1:31" ht="45">
      <c r="A369" s="68" t="s">
        <v>788</v>
      </c>
      <c r="B369" s="69" t="s">
        <v>274</v>
      </c>
      <c r="C369" s="68" t="s">
        <v>275</v>
      </c>
      <c r="D369" s="68">
        <v>8550000000</v>
      </c>
      <c r="E369" s="68" t="s">
        <v>32</v>
      </c>
      <c r="F369" s="70">
        <v>2538</v>
      </c>
      <c r="G369" s="71">
        <v>47877</v>
      </c>
      <c r="H369" s="70" t="s">
        <v>141</v>
      </c>
      <c r="I369" s="70" t="s">
        <v>240</v>
      </c>
      <c r="J369" s="72">
        <v>21.96</v>
      </c>
      <c r="K369" s="72" t="s">
        <v>36</v>
      </c>
      <c r="L369" s="95" t="s">
        <v>305</v>
      </c>
      <c r="M369" s="95" t="s">
        <v>38</v>
      </c>
      <c r="N369" s="138">
        <v>2688402</v>
      </c>
      <c r="O369" s="136" t="s">
        <v>785</v>
      </c>
      <c r="P369" s="139" t="s">
        <v>786</v>
      </c>
      <c r="Q369" s="160">
        <v>46267</v>
      </c>
      <c r="R369" s="140">
        <v>46444</v>
      </c>
      <c r="S369" s="162">
        <v>46255</v>
      </c>
      <c r="T369" s="137">
        <v>46262</v>
      </c>
      <c r="U369" s="137">
        <v>46265</v>
      </c>
      <c r="V369" s="142" t="s">
        <v>41</v>
      </c>
      <c r="W369" s="142" t="s">
        <v>32</v>
      </c>
      <c r="X369" s="143" t="s">
        <v>41</v>
      </c>
      <c r="Y369" s="139" t="s">
        <v>32</v>
      </c>
      <c r="Z369" s="128"/>
      <c r="AA369" s="130" t="s">
        <v>43</v>
      </c>
      <c r="AB369" s="73">
        <f>+VLOOKUP(A369,'[1]VALID RIM NUEVAM'!A$1:N$65536,14,0)</f>
        <v>2688402</v>
      </c>
      <c r="AC369" s="70"/>
      <c r="AD369" s="70"/>
      <c r="AE369" s="70"/>
    </row>
    <row r="370" spans="1:31" ht="45">
      <c r="A370" s="68" t="s">
        <v>789</v>
      </c>
      <c r="B370" s="69" t="s">
        <v>276</v>
      </c>
      <c r="C370" s="68" t="s">
        <v>277</v>
      </c>
      <c r="D370" s="68">
        <v>8550000000</v>
      </c>
      <c r="E370" s="68" t="s">
        <v>32</v>
      </c>
      <c r="F370" s="70">
        <v>2538</v>
      </c>
      <c r="G370" s="71">
        <v>47877</v>
      </c>
      <c r="H370" s="70" t="s">
        <v>141</v>
      </c>
      <c r="I370" s="70" t="s">
        <v>240</v>
      </c>
      <c r="J370" s="72">
        <v>21.96</v>
      </c>
      <c r="K370" s="72" t="s">
        <v>36</v>
      </c>
      <c r="L370" s="95" t="s">
        <v>305</v>
      </c>
      <c r="M370" s="95" t="s">
        <v>38</v>
      </c>
      <c r="N370" s="138">
        <v>2688402</v>
      </c>
      <c r="O370" s="136" t="s">
        <v>785</v>
      </c>
      <c r="P370" s="139" t="s">
        <v>786</v>
      </c>
      <c r="Q370" s="160">
        <v>46267</v>
      </c>
      <c r="R370" s="140">
        <v>46444</v>
      </c>
      <c r="S370" s="162">
        <v>46255</v>
      </c>
      <c r="T370" s="137">
        <v>46262</v>
      </c>
      <c r="U370" s="137">
        <v>46265</v>
      </c>
      <c r="V370" s="142" t="s">
        <v>41</v>
      </c>
      <c r="W370" s="142" t="s">
        <v>32</v>
      </c>
      <c r="X370" s="143" t="s">
        <v>41</v>
      </c>
      <c r="Y370" s="139" t="s">
        <v>32</v>
      </c>
      <c r="Z370" s="128"/>
      <c r="AA370" s="130" t="s">
        <v>43</v>
      </c>
      <c r="AB370" s="73">
        <f>+VLOOKUP(A370,'[1]VALID RIM NUEVAM'!A$1:N$65536,14,0)</f>
        <v>2688402</v>
      </c>
      <c r="AC370" s="70"/>
      <c r="AD370" s="70"/>
      <c r="AE370" s="70"/>
    </row>
    <row r="371" spans="1:31" ht="45">
      <c r="A371" s="68" t="s">
        <v>790</v>
      </c>
      <c r="B371" s="69" t="s">
        <v>278</v>
      </c>
      <c r="C371" s="68" t="s">
        <v>279</v>
      </c>
      <c r="D371" s="68">
        <v>8550000000</v>
      </c>
      <c r="E371" s="68" t="s">
        <v>32</v>
      </c>
      <c r="F371" s="70">
        <v>2538</v>
      </c>
      <c r="G371" s="71">
        <v>47877</v>
      </c>
      <c r="H371" s="70" t="s">
        <v>141</v>
      </c>
      <c r="I371" s="70" t="s">
        <v>240</v>
      </c>
      <c r="J371" s="72">
        <v>8.11</v>
      </c>
      <c r="K371" s="72" t="s">
        <v>36</v>
      </c>
      <c r="L371" s="95" t="s">
        <v>305</v>
      </c>
      <c r="M371" s="95" t="s">
        <v>38</v>
      </c>
      <c r="N371" s="138">
        <v>2688402</v>
      </c>
      <c r="O371" s="136" t="s">
        <v>785</v>
      </c>
      <c r="P371" s="139" t="s">
        <v>786</v>
      </c>
      <c r="Q371" s="160">
        <v>46267</v>
      </c>
      <c r="R371" s="140">
        <v>46444</v>
      </c>
      <c r="S371" s="162">
        <v>46255</v>
      </c>
      <c r="T371" s="137">
        <v>46262</v>
      </c>
      <c r="U371" s="137">
        <v>46265</v>
      </c>
      <c r="V371" s="142" t="s">
        <v>41</v>
      </c>
      <c r="W371" s="142" t="s">
        <v>32</v>
      </c>
      <c r="X371" s="143" t="s">
        <v>41</v>
      </c>
      <c r="Y371" s="139" t="s">
        <v>32</v>
      </c>
      <c r="Z371" s="128"/>
      <c r="AA371" s="130" t="s">
        <v>43</v>
      </c>
      <c r="AB371" s="73">
        <f>+VLOOKUP(A371,'[1]VALID RIM NUEVAM'!A$1:N$65536,14,0)</f>
        <v>2688402</v>
      </c>
      <c r="AC371" s="70"/>
      <c r="AD371" s="70"/>
      <c r="AE371" s="70"/>
    </row>
    <row r="372" spans="1:31" ht="45">
      <c r="A372" s="68" t="s">
        <v>791</v>
      </c>
      <c r="B372" s="69" t="s">
        <v>280</v>
      </c>
      <c r="C372" s="68" t="s">
        <v>281</v>
      </c>
      <c r="D372" s="68">
        <v>8550000000</v>
      </c>
      <c r="E372" s="68" t="s">
        <v>32</v>
      </c>
      <c r="F372" s="70">
        <v>2538</v>
      </c>
      <c r="G372" s="71">
        <v>47877</v>
      </c>
      <c r="H372" s="70" t="s">
        <v>141</v>
      </c>
      <c r="I372" s="70" t="s">
        <v>240</v>
      </c>
      <c r="J372" s="72">
        <v>8.5299999999999994</v>
      </c>
      <c r="K372" s="72" t="s">
        <v>36</v>
      </c>
      <c r="L372" s="95" t="s">
        <v>305</v>
      </c>
      <c r="M372" s="95" t="s">
        <v>38</v>
      </c>
      <c r="N372" s="138">
        <v>2688402</v>
      </c>
      <c r="O372" s="136" t="s">
        <v>785</v>
      </c>
      <c r="P372" s="139" t="s">
        <v>786</v>
      </c>
      <c r="Q372" s="160">
        <v>46267</v>
      </c>
      <c r="R372" s="140">
        <v>46444</v>
      </c>
      <c r="S372" s="162">
        <v>46255</v>
      </c>
      <c r="T372" s="137">
        <v>46262</v>
      </c>
      <c r="U372" s="137">
        <v>46265</v>
      </c>
      <c r="V372" s="142" t="s">
        <v>41</v>
      </c>
      <c r="W372" s="142" t="s">
        <v>32</v>
      </c>
      <c r="X372" s="143" t="s">
        <v>41</v>
      </c>
      <c r="Y372" s="139" t="s">
        <v>32</v>
      </c>
      <c r="Z372" s="128"/>
      <c r="AA372" s="130" t="s">
        <v>43</v>
      </c>
      <c r="AB372" s="73">
        <f>+VLOOKUP(A372,'[1]VALID RIM NUEVAM'!A$1:N$65536,14,0)</f>
        <v>2688402</v>
      </c>
      <c r="AC372" s="70"/>
      <c r="AD372" s="70"/>
      <c r="AE372" s="70"/>
    </row>
    <row r="373" spans="1:31" ht="45">
      <c r="A373" s="68" t="s">
        <v>792</v>
      </c>
      <c r="B373" s="69" t="s">
        <v>282</v>
      </c>
      <c r="C373" s="68" t="s">
        <v>283</v>
      </c>
      <c r="D373" s="68">
        <v>8550000000</v>
      </c>
      <c r="E373" s="68" t="s">
        <v>32</v>
      </c>
      <c r="F373" s="70">
        <v>2538</v>
      </c>
      <c r="G373" s="71">
        <v>47877</v>
      </c>
      <c r="H373" s="70" t="s">
        <v>141</v>
      </c>
      <c r="I373" s="70" t="s">
        <v>240</v>
      </c>
      <c r="J373" s="72">
        <v>8.5299999999999994</v>
      </c>
      <c r="K373" s="72" t="s">
        <v>36</v>
      </c>
      <c r="L373" s="95" t="s">
        <v>305</v>
      </c>
      <c r="M373" s="95" t="s">
        <v>38</v>
      </c>
      <c r="N373" s="138">
        <v>2688402</v>
      </c>
      <c r="O373" s="136" t="s">
        <v>785</v>
      </c>
      <c r="P373" s="139" t="s">
        <v>786</v>
      </c>
      <c r="Q373" s="160">
        <v>46267</v>
      </c>
      <c r="R373" s="140">
        <v>46444</v>
      </c>
      <c r="S373" s="162">
        <v>46255</v>
      </c>
      <c r="T373" s="137">
        <v>46262</v>
      </c>
      <c r="U373" s="137">
        <v>46265</v>
      </c>
      <c r="V373" s="142" t="s">
        <v>41</v>
      </c>
      <c r="W373" s="142" t="s">
        <v>32</v>
      </c>
      <c r="X373" s="143" t="s">
        <v>41</v>
      </c>
      <c r="Y373" s="139" t="s">
        <v>32</v>
      </c>
      <c r="Z373" s="128"/>
      <c r="AA373" s="130" t="s">
        <v>43</v>
      </c>
      <c r="AB373" s="73">
        <f>+VLOOKUP(A373,'[1]VALID RIM NUEVAM'!A$1:N$65536,14,0)</f>
        <v>2688402</v>
      </c>
      <c r="AC373" s="70"/>
      <c r="AD373" s="70"/>
      <c r="AE373" s="70"/>
    </row>
    <row r="374" spans="1:31" ht="45">
      <c r="A374" s="68" t="s">
        <v>793</v>
      </c>
      <c r="B374" s="69" t="s">
        <v>284</v>
      </c>
      <c r="C374" s="68" t="s">
        <v>285</v>
      </c>
      <c r="D374" s="68">
        <v>8550000000</v>
      </c>
      <c r="E374" s="68" t="s">
        <v>32</v>
      </c>
      <c r="F374" s="70">
        <v>2538</v>
      </c>
      <c r="G374" s="71">
        <v>47877</v>
      </c>
      <c r="H374" s="70" t="s">
        <v>141</v>
      </c>
      <c r="I374" s="70" t="s">
        <v>240</v>
      </c>
      <c r="J374" s="72">
        <v>8.5299999999999994</v>
      </c>
      <c r="K374" s="72" t="s">
        <v>36</v>
      </c>
      <c r="L374" s="95" t="s">
        <v>305</v>
      </c>
      <c r="M374" s="95" t="s">
        <v>38</v>
      </c>
      <c r="N374" s="138">
        <v>2688402</v>
      </c>
      <c r="O374" s="136" t="s">
        <v>785</v>
      </c>
      <c r="P374" s="139" t="s">
        <v>786</v>
      </c>
      <c r="Q374" s="160">
        <v>46267</v>
      </c>
      <c r="R374" s="140">
        <v>46444</v>
      </c>
      <c r="S374" s="162">
        <v>46255</v>
      </c>
      <c r="T374" s="137">
        <v>46262</v>
      </c>
      <c r="U374" s="137">
        <v>46265</v>
      </c>
      <c r="V374" s="142" t="s">
        <v>41</v>
      </c>
      <c r="W374" s="142" t="s">
        <v>32</v>
      </c>
      <c r="X374" s="143" t="s">
        <v>41</v>
      </c>
      <c r="Y374" s="139" t="s">
        <v>32</v>
      </c>
      <c r="Z374" s="128"/>
      <c r="AA374" s="130" t="s">
        <v>43</v>
      </c>
      <c r="AB374" s="73">
        <f>+VLOOKUP(A374,'[1]VALID RIM NUEVAM'!A$1:N$65536,14,0)</f>
        <v>2688402</v>
      </c>
      <c r="AC374" s="70"/>
      <c r="AD374" s="70"/>
      <c r="AE374" s="70"/>
    </row>
    <row r="375" spans="1:31" ht="45">
      <c r="A375" s="68" t="s">
        <v>794</v>
      </c>
      <c r="B375" s="69" t="s">
        <v>286</v>
      </c>
      <c r="C375" s="68" t="s">
        <v>287</v>
      </c>
      <c r="D375" s="68">
        <v>8550000000</v>
      </c>
      <c r="E375" s="68" t="s">
        <v>32</v>
      </c>
      <c r="F375" s="70">
        <v>2538</v>
      </c>
      <c r="G375" s="71">
        <v>47877</v>
      </c>
      <c r="H375" s="70" t="s">
        <v>141</v>
      </c>
      <c r="I375" s="70" t="s">
        <v>240</v>
      </c>
      <c r="J375" s="72">
        <v>29.96</v>
      </c>
      <c r="K375" s="72" t="s">
        <v>36</v>
      </c>
      <c r="L375" s="95" t="s">
        <v>305</v>
      </c>
      <c r="M375" s="95" t="s">
        <v>38</v>
      </c>
      <c r="N375" s="138">
        <v>2688402</v>
      </c>
      <c r="O375" s="136" t="s">
        <v>785</v>
      </c>
      <c r="P375" s="139" t="s">
        <v>786</v>
      </c>
      <c r="Q375" s="160">
        <v>46267</v>
      </c>
      <c r="R375" s="140">
        <v>46444</v>
      </c>
      <c r="S375" s="162">
        <v>46255</v>
      </c>
      <c r="T375" s="137">
        <v>46262</v>
      </c>
      <c r="U375" s="137">
        <v>46265</v>
      </c>
      <c r="V375" s="142" t="s">
        <v>41</v>
      </c>
      <c r="W375" s="142" t="s">
        <v>32</v>
      </c>
      <c r="X375" s="143" t="s">
        <v>41</v>
      </c>
      <c r="Y375" s="139" t="s">
        <v>32</v>
      </c>
      <c r="Z375" s="128"/>
      <c r="AA375" s="130" t="s">
        <v>43</v>
      </c>
      <c r="AB375" s="73">
        <f>+VLOOKUP(A375,'[1]VALID RIM NUEVAM'!A$1:N$65536,14,0)</f>
        <v>2688402</v>
      </c>
      <c r="AC375" s="70"/>
      <c r="AD375" s="70"/>
      <c r="AE375" s="70"/>
    </row>
    <row r="376" spans="1:31" ht="45">
      <c r="A376" s="68" t="s">
        <v>795</v>
      </c>
      <c r="B376" s="69" t="s">
        <v>288</v>
      </c>
      <c r="C376" s="68" t="s">
        <v>289</v>
      </c>
      <c r="D376" s="68">
        <v>8550000000</v>
      </c>
      <c r="E376" s="68" t="s">
        <v>32</v>
      </c>
      <c r="F376" s="70">
        <v>2538</v>
      </c>
      <c r="G376" s="71">
        <v>47877</v>
      </c>
      <c r="H376" s="70" t="s">
        <v>141</v>
      </c>
      <c r="I376" s="70" t="s">
        <v>240</v>
      </c>
      <c r="J376" s="72">
        <v>29.96</v>
      </c>
      <c r="K376" s="72" t="s">
        <v>36</v>
      </c>
      <c r="L376" s="95" t="s">
        <v>305</v>
      </c>
      <c r="M376" s="95" t="s">
        <v>38</v>
      </c>
      <c r="N376" s="138">
        <v>2688402</v>
      </c>
      <c r="O376" s="136" t="s">
        <v>785</v>
      </c>
      <c r="P376" s="139" t="s">
        <v>786</v>
      </c>
      <c r="Q376" s="160">
        <v>46267</v>
      </c>
      <c r="R376" s="140">
        <v>46444</v>
      </c>
      <c r="S376" s="162">
        <v>46255</v>
      </c>
      <c r="T376" s="137">
        <v>46262</v>
      </c>
      <c r="U376" s="137">
        <v>46265</v>
      </c>
      <c r="V376" s="142" t="s">
        <v>41</v>
      </c>
      <c r="W376" s="142" t="s">
        <v>32</v>
      </c>
      <c r="X376" s="143" t="s">
        <v>41</v>
      </c>
      <c r="Y376" s="139" t="s">
        <v>32</v>
      </c>
      <c r="Z376" s="128"/>
      <c r="AA376" s="130" t="s">
        <v>43</v>
      </c>
      <c r="AB376" s="73">
        <f>+VLOOKUP(A376,'[1]VALID RIM NUEVAM'!A$1:N$65536,14,0)</f>
        <v>2688402</v>
      </c>
      <c r="AC376" s="70"/>
      <c r="AD376" s="70"/>
      <c r="AE376" s="70"/>
    </row>
    <row r="377" spans="1:31" ht="45">
      <c r="A377" s="68" t="s">
        <v>796</v>
      </c>
      <c r="B377" s="69" t="s">
        <v>290</v>
      </c>
      <c r="C377" s="68" t="s">
        <v>291</v>
      </c>
      <c r="D377" s="68">
        <v>8550000000</v>
      </c>
      <c r="E377" s="68" t="s">
        <v>32</v>
      </c>
      <c r="F377" s="70">
        <v>2538</v>
      </c>
      <c r="G377" s="71">
        <v>47877</v>
      </c>
      <c r="H377" s="70" t="s">
        <v>141</v>
      </c>
      <c r="I377" s="70" t="s">
        <v>240</v>
      </c>
      <c r="J377" s="72">
        <v>29.96</v>
      </c>
      <c r="K377" s="72" t="s">
        <v>36</v>
      </c>
      <c r="L377" s="95" t="s">
        <v>305</v>
      </c>
      <c r="M377" s="95" t="s">
        <v>38</v>
      </c>
      <c r="N377" s="138">
        <v>2688402</v>
      </c>
      <c r="O377" s="136" t="s">
        <v>785</v>
      </c>
      <c r="P377" s="139" t="s">
        <v>786</v>
      </c>
      <c r="Q377" s="160">
        <v>46267</v>
      </c>
      <c r="R377" s="140">
        <v>46444</v>
      </c>
      <c r="S377" s="162">
        <v>46255</v>
      </c>
      <c r="T377" s="137">
        <v>46262</v>
      </c>
      <c r="U377" s="137">
        <v>46265</v>
      </c>
      <c r="V377" s="142" t="s">
        <v>41</v>
      </c>
      <c r="W377" s="142" t="s">
        <v>32</v>
      </c>
      <c r="X377" s="143" t="s">
        <v>41</v>
      </c>
      <c r="Y377" s="139" t="s">
        <v>32</v>
      </c>
      <c r="Z377" s="128"/>
      <c r="AA377" s="130" t="s">
        <v>43</v>
      </c>
      <c r="AB377" s="73">
        <f>+VLOOKUP(A377,'[1]VALID RIM NUEVAM'!A$1:N$65536,14,0)</f>
        <v>2688402</v>
      </c>
      <c r="AC377" s="70"/>
      <c r="AD377" s="70"/>
      <c r="AE377" s="70"/>
    </row>
    <row r="378" spans="1:31" ht="45">
      <c r="A378" s="68" t="s">
        <v>797</v>
      </c>
      <c r="B378" s="69" t="s">
        <v>292</v>
      </c>
      <c r="C378" s="68" t="s">
        <v>293</v>
      </c>
      <c r="D378" s="68">
        <v>8550000000</v>
      </c>
      <c r="E378" s="68" t="s">
        <v>32</v>
      </c>
      <c r="F378" s="70">
        <v>2538</v>
      </c>
      <c r="G378" s="71">
        <v>47877</v>
      </c>
      <c r="H378" s="70" t="s">
        <v>141</v>
      </c>
      <c r="I378" s="70" t="s">
        <v>240</v>
      </c>
      <c r="J378" s="72">
        <v>31.55</v>
      </c>
      <c r="K378" s="72" t="s">
        <v>36</v>
      </c>
      <c r="L378" s="95" t="s">
        <v>305</v>
      </c>
      <c r="M378" s="95" t="s">
        <v>38</v>
      </c>
      <c r="N378" s="138">
        <v>2688402</v>
      </c>
      <c r="O378" s="136" t="s">
        <v>785</v>
      </c>
      <c r="P378" s="139" t="s">
        <v>786</v>
      </c>
      <c r="Q378" s="160">
        <v>46267</v>
      </c>
      <c r="R378" s="140">
        <v>46444</v>
      </c>
      <c r="S378" s="162">
        <v>46255</v>
      </c>
      <c r="T378" s="137">
        <v>46262</v>
      </c>
      <c r="U378" s="137">
        <v>46265</v>
      </c>
      <c r="V378" s="142" t="s">
        <v>41</v>
      </c>
      <c r="W378" s="142" t="s">
        <v>32</v>
      </c>
      <c r="X378" s="143" t="s">
        <v>41</v>
      </c>
      <c r="Y378" s="139" t="s">
        <v>32</v>
      </c>
      <c r="Z378" s="128"/>
      <c r="AA378" s="130" t="s">
        <v>43</v>
      </c>
      <c r="AB378" s="73">
        <f>+VLOOKUP(A378,'[1]VALID RIM NUEVAM'!A$1:N$65536,14,0)</f>
        <v>2688402</v>
      </c>
      <c r="AC378" s="70"/>
      <c r="AD378" s="70"/>
      <c r="AE378" s="70"/>
    </row>
    <row r="379" spans="1:31" ht="45">
      <c r="A379" s="68" t="s">
        <v>798</v>
      </c>
      <c r="B379" s="69" t="s">
        <v>294</v>
      </c>
      <c r="C379" s="68" t="s">
        <v>295</v>
      </c>
      <c r="D379" s="68">
        <v>8550000000</v>
      </c>
      <c r="E379" s="68" t="s">
        <v>32</v>
      </c>
      <c r="F379" s="70">
        <v>2538</v>
      </c>
      <c r="G379" s="71">
        <v>47877</v>
      </c>
      <c r="H379" s="70" t="s">
        <v>141</v>
      </c>
      <c r="I379" s="70" t="s">
        <v>240</v>
      </c>
      <c r="J379" s="72">
        <v>31.55</v>
      </c>
      <c r="K379" s="72" t="s">
        <v>36</v>
      </c>
      <c r="L379" s="95" t="s">
        <v>305</v>
      </c>
      <c r="M379" s="95" t="s">
        <v>38</v>
      </c>
      <c r="N379" s="138">
        <v>2688402</v>
      </c>
      <c r="O379" s="136" t="s">
        <v>785</v>
      </c>
      <c r="P379" s="139" t="s">
        <v>786</v>
      </c>
      <c r="Q379" s="160">
        <v>46267</v>
      </c>
      <c r="R379" s="140">
        <v>46444</v>
      </c>
      <c r="S379" s="162">
        <v>46255</v>
      </c>
      <c r="T379" s="137">
        <v>46262</v>
      </c>
      <c r="U379" s="137">
        <v>46265</v>
      </c>
      <c r="V379" s="142" t="s">
        <v>41</v>
      </c>
      <c r="W379" s="142" t="s">
        <v>32</v>
      </c>
      <c r="X379" s="143" t="s">
        <v>41</v>
      </c>
      <c r="Y379" s="139" t="s">
        <v>32</v>
      </c>
      <c r="Z379" s="128"/>
      <c r="AA379" s="130" t="s">
        <v>43</v>
      </c>
      <c r="AB379" s="73">
        <f>+VLOOKUP(A379,'[1]VALID RIM NUEVAM'!A$1:N$65536,14,0)</f>
        <v>2688402</v>
      </c>
      <c r="AC379" s="70"/>
      <c r="AD379" s="70"/>
      <c r="AE379" s="70"/>
    </row>
    <row r="380" spans="1:31" ht="45">
      <c r="A380" s="68" t="s">
        <v>799</v>
      </c>
      <c r="B380" s="69" t="s">
        <v>296</v>
      </c>
      <c r="C380" s="68" t="s">
        <v>297</v>
      </c>
      <c r="D380" s="68">
        <v>8550000000</v>
      </c>
      <c r="E380" s="68" t="s">
        <v>32</v>
      </c>
      <c r="F380" s="70">
        <v>2538</v>
      </c>
      <c r="G380" s="71">
        <v>47877</v>
      </c>
      <c r="H380" s="70" t="s">
        <v>141</v>
      </c>
      <c r="I380" s="70" t="s">
        <v>240</v>
      </c>
      <c r="J380" s="72">
        <v>31.55</v>
      </c>
      <c r="K380" s="72" t="s">
        <v>36</v>
      </c>
      <c r="L380" s="95" t="s">
        <v>305</v>
      </c>
      <c r="M380" s="95" t="s">
        <v>38</v>
      </c>
      <c r="N380" s="138">
        <v>2688402</v>
      </c>
      <c r="O380" s="136" t="s">
        <v>785</v>
      </c>
      <c r="P380" s="139" t="s">
        <v>786</v>
      </c>
      <c r="Q380" s="160">
        <v>46267</v>
      </c>
      <c r="R380" s="140">
        <v>46444</v>
      </c>
      <c r="S380" s="162">
        <v>46255</v>
      </c>
      <c r="T380" s="137">
        <v>46262</v>
      </c>
      <c r="U380" s="137">
        <v>46265</v>
      </c>
      <c r="V380" s="142" t="s">
        <v>41</v>
      </c>
      <c r="W380" s="142" t="s">
        <v>32</v>
      </c>
      <c r="X380" s="143" t="s">
        <v>41</v>
      </c>
      <c r="Y380" s="139" t="s">
        <v>32</v>
      </c>
      <c r="Z380" s="128"/>
      <c r="AA380" s="130" t="s">
        <v>43</v>
      </c>
      <c r="AB380" s="73">
        <f>+VLOOKUP(A380,'[1]VALID RIM NUEVAM'!A$1:N$65536,14,0)</f>
        <v>2688402</v>
      </c>
      <c r="AC380" s="70"/>
      <c r="AD380" s="70"/>
      <c r="AE380" s="70"/>
    </row>
    <row r="381" spans="1:31" ht="45">
      <c r="A381" s="68" t="s">
        <v>800</v>
      </c>
      <c r="B381" s="69" t="s">
        <v>298</v>
      </c>
      <c r="C381" s="68" t="s">
        <v>299</v>
      </c>
      <c r="D381" s="68">
        <v>8550000000</v>
      </c>
      <c r="E381" s="68" t="s">
        <v>32</v>
      </c>
      <c r="F381" s="70">
        <v>2538</v>
      </c>
      <c r="G381" s="71">
        <v>47877</v>
      </c>
      <c r="H381" s="70" t="s">
        <v>141</v>
      </c>
      <c r="I381" s="70" t="s">
        <v>240</v>
      </c>
      <c r="J381" s="72">
        <v>31.55</v>
      </c>
      <c r="K381" s="72" t="s">
        <v>36</v>
      </c>
      <c r="L381" s="95" t="s">
        <v>305</v>
      </c>
      <c r="M381" s="95" t="s">
        <v>38</v>
      </c>
      <c r="N381" s="138">
        <v>2688402</v>
      </c>
      <c r="O381" s="136" t="s">
        <v>785</v>
      </c>
      <c r="P381" s="139" t="s">
        <v>786</v>
      </c>
      <c r="Q381" s="160">
        <v>46267</v>
      </c>
      <c r="R381" s="140">
        <v>46444</v>
      </c>
      <c r="S381" s="162">
        <v>46255</v>
      </c>
      <c r="T381" s="137">
        <v>46262</v>
      </c>
      <c r="U381" s="137">
        <v>46265</v>
      </c>
      <c r="V381" s="142" t="s">
        <v>41</v>
      </c>
      <c r="W381" s="142" t="s">
        <v>32</v>
      </c>
      <c r="X381" s="143" t="s">
        <v>41</v>
      </c>
      <c r="Y381" s="139" t="s">
        <v>32</v>
      </c>
      <c r="Z381" s="128"/>
      <c r="AA381" s="130" t="s">
        <v>43</v>
      </c>
      <c r="AB381" s="73">
        <f>+VLOOKUP(A381,'[1]VALID RIM NUEVAM'!A$1:N$65536,14,0)</f>
        <v>2688402</v>
      </c>
      <c r="AC381" s="70"/>
      <c r="AD381" s="70"/>
      <c r="AE381" s="70"/>
    </row>
    <row r="382" spans="1:31" ht="45">
      <c r="A382" s="128" t="s">
        <v>801</v>
      </c>
      <c r="B382" s="129" t="s">
        <v>300</v>
      </c>
      <c r="C382" s="128" t="s">
        <v>301</v>
      </c>
      <c r="D382" s="128">
        <v>8550000000</v>
      </c>
      <c r="E382" s="128" t="s">
        <v>32</v>
      </c>
      <c r="F382" s="130">
        <v>2538</v>
      </c>
      <c r="G382" s="131">
        <v>47877</v>
      </c>
      <c r="H382" s="130" t="s">
        <v>141</v>
      </c>
      <c r="I382" s="130" t="s">
        <v>240</v>
      </c>
      <c r="J382" s="132">
        <v>31.55</v>
      </c>
      <c r="K382" s="132" t="s">
        <v>36</v>
      </c>
      <c r="L382" s="144" t="s">
        <v>305</v>
      </c>
      <c r="M382" s="144" t="s">
        <v>38</v>
      </c>
      <c r="N382" s="138">
        <v>2688402</v>
      </c>
      <c r="O382" s="136" t="s">
        <v>785</v>
      </c>
      <c r="P382" s="139" t="s">
        <v>786</v>
      </c>
      <c r="Q382" s="160">
        <v>46267</v>
      </c>
      <c r="R382" s="140">
        <v>46444</v>
      </c>
      <c r="S382" s="162">
        <v>46255</v>
      </c>
      <c r="T382" s="137">
        <v>46262</v>
      </c>
      <c r="U382" s="137">
        <v>46265</v>
      </c>
      <c r="V382" s="142" t="s">
        <v>41</v>
      </c>
      <c r="W382" s="142" t="s">
        <v>32</v>
      </c>
      <c r="X382" s="143" t="s">
        <v>41</v>
      </c>
      <c r="Y382" s="139" t="s">
        <v>32</v>
      </c>
      <c r="Z382" s="128"/>
      <c r="AA382" s="130" t="s">
        <v>43</v>
      </c>
      <c r="AB382" s="133">
        <f>+VLOOKUP(A382,'[1]VALID RIM NUEVAM'!A$1:N$65536,14,0)</f>
        <v>2688402</v>
      </c>
      <c r="AC382" s="130"/>
      <c r="AD382" s="130"/>
      <c r="AE382" s="130"/>
    </row>
    <row r="383" spans="1:31" ht="45">
      <c r="A383" s="68" t="s">
        <v>802</v>
      </c>
      <c r="B383" s="69" t="s">
        <v>302</v>
      </c>
      <c r="C383" s="68" t="s">
        <v>803</v>
      </c>
      <c r="D383" s="68">
        <v>8550000000</v>
      </c>
      <c r="E383" s="68" t="s">
        <v>32</v>
      </c>
      <c r="F383" s="70">
        <v>2538</v>
      </c>
      <c r="G383" s="71">
        <v>47877</v>
      </c>
      <c r="H383" s="70" t="s">
        <v>141</v>
      </c>
      <c r="I383" s="70" t="s">
        <v>240</v>
      </c>
      <c r="J383" s="72" t="s">
        <v>304</v>
      </c>
      <c r="K383" s="72" t="s">
        <v>36</v>
      </c>
      <c r="L383" s="95" t="s">
        <v>305</v>
      </c>
      <c r="M383" s="95" t="s">
        <v>38</v>
      </c>
      <c r="N383" s="92">
        <v>2688402</v>
      </c>
      <c r="O383" s="75" t="s">
        <v>785</v>
      </c>
      <c r="P383" s="76" t="s">
        <v>786</v>
      </c>
      <c r="Q383" s="172">
        <v>46267</v>
      </c>
      <c r="R383" s="77">
        <v>46444</v>
      </c>
      <c r="S383" s="176">
        <v>46255</v>
      </c>
      <c r="T383" s="78">
        <v>46262</v>
      </c>
      <c r="U383" s="78">
        <v>46265</v>
      </c>
      <c r="V383" s="79" t="s">
        <v>41</v>
      </c>
      <c r="W383" s="79" t="s">
        <v>32</v>
      </c>
      <c r="X383" s="80" t="s">
        <v>41</v>
      </c>
      <c r="Y383" s="76" t="s">
        <v>32</v>
      </c>
      <c r="Z383" s="68"/>
      <c r="AA383" s="130" t="s">
        <v>43</v>
      </c>
      <c r="AB383" s="73">
        <f>+VLOOKUP(A383,'[1]VALID RIM NUEVAM'!A$1:N$65536,14,0)</f>
        <v>2688402</v>
      </c>
      <c r="AC383" s="70"/>
      <c r="AD383" s="70"/>
      <c r="AE383" s="70"/>
    </row>
    <row r="384" spans="1:31" ht="45">
      <c r="A384" s="68" t="s">
        <v>802</v>
      </c>
      <c r="B384" s="69" t="s">
        <v>302</v>
      </c>
      <c r="C384" s="68" t="s">
        <v>804</v>
      </c>
      <c r="D384" s="68">
        <v>8550000000</v>
      </c>
      <c r="E384" s="68" t="s">
        <v>32</v>
      </c>
      <c r="F384" s="70">
        <v>2538</v>
      </c>
      <c r="G384" s="71">
        <v>47877</v>
      </c>
      <c r="H384" s="70" t="s">
        <v>141</v>
      </c>
      <c r="I384" s="70" t="s">
        <v>240</v>
      </c>
      <c r="J384" s="72" t="s">
        <v>304</v>
      </c>
      <c r="K384" s="72" t="s">
        <v>36</v>
      </c>
      <c r="L384" s="95" t="s">
        <v>305</v>
      </c>
      <c r="M384" s="95" t="s">
        <v>38</v>
      </c>
      <c r="N384" s="92">
        <v>2688402</v>
      </c>
      <c r="O384" s="75" t="s">
        <v>785</v>
      </c>
      <c r="P384" s="76" t="s">
        <v>786</v>
      </c>
      <c r="Q384" s="172">
        <v>46267</v>
      </c>
      <c r="R384" s="77">
        <v>46444</v>
      </c>
      <c r="S384" s="176">
        <v>46255</v>
      </c>
      <c r="T384" s="78">
        <v>46262</v>
      </c>
      <c r="U384" s="78">
        <v>46265</v>
      </c>
      <c r="V384" s="79" t="s">
        <v>41</v>
      </c>
      <c r="W384" s="79" t="s">
        <v>32</v>
      </c>
      <c r="X384" s="80" t="s">
        <v>41</v>
      </c>
      <c r="Y384" s="76" t="s">
        <v>32</v>
      </c>
      <c r="Z384" s="68"/>
      <c r="AA384" s="130" t="s">
        <v>43</v>
      </c>
      <c r="AB384" s="73">
        <f>+VLOOKUP(A384,'[1]VALID RIM NUEVAM'!A$1:N$65536,14,0)</f>
        <v>2688402</v>
      </c>
      <c r="AC384" s="70"/>
      <c r="AD384" s="70"/>
      <c r="AE384" s="70"/>
    </row>
    <row r="385" spans="1:31" ht="45">
      <c r="A385" s="68" t="s">
        <v>802</v>
      </c>
      <c r="B385" s="69" t="s">
        <v>302</v>
      </c>
      <c r="C385" s="68" t="s">
        <v>805</v>
      </c>
      <c r="D385" s="68">
        <v>8550000000</v>
      </c>
      <c r="E385" s="68" t="s">
        <v>32</v>
      </c>
      <c r="F385" s="70">
        <v>2538</v>
      </c>
      <c r="G385" s="71">
        <v>47877</v>
      </c>
      <c r="H385" s="70" t="s">
        <v>141</v>
      </c>
      <c r="I385" s="70" t="s">
        <v>240</v>
      </c>
      <c r="J385" s="72" t="s">
        <v>304</v>
      </c>
      <c r="K385" s="72" t="s">
        <v>36</v>
      </c>
      <c r="L385" s="95" t="s">
        <v>305</v>
      </c>
      <c r="M385" s="95" t="s">
        <v>38</v>
      </c>
      <c r="N385" s="92">
        <v>2688402</v>
      </c>
      <c r="O385" s="75" t="s">
        <v>785</v>
      </c>
      <c r="P385" s="76" t="s">
        <v>786</v>
      </c>
      <c r="Q385" s="172">
        <v>46267</v>
      </c>
      <c r="R385" s="77">
        <v>46444</v>
      </c>
      <c r="S385" s="176">
        <v>46255</v>
      </c>
      <c r="T385" s="78">
        <v>46262</v>
      </c>
      <c r="U385" s="78">
        <v>46265</v>
      </c>
      <c r="V385" s="79" t="s">
        <v>41</v>
      </c>
      <c r="W385" s="79" t="s">
        <v>32</v>
      </c>
      <c r="X385" s="80" t="s">
        <v>41</v>
      </c>
      <c r="Y385" s="76" t="s">
        <v>32</v>
      </c>
      <c r="Z385" s="68"/>
      <c r="AA385" s="130" t="s">
        <v>43</v>
      </c>
      <c r="AB385" s="73">
        <f>+VLOOKUP(A385,'[1]VALID RIM NUEVAM'!A$1:N$65536,14,0)</f>
        <v>2688402</v>
      </c>
      <c r="AC385" s="70"/>
      <c r="AD385" s="70"/>
      <c r="AE385" s="70"/>
    </row>
    <row r="386" spans="1:31" ht="45">
      <c r="A386" s="68" t="s">
        <v>806</v>
      </c>
      <c r="B386" s="69" t="s">
        <v>306</v>
      </c>
      <c r="C386" s="68" t="s">
        <v>307</v>
      </c>
      <c r="D386" s="68">
        <v>8550000000</v>
      </c>
      <c r="E386" s="68" t="s">
        <v>32</v>
      </c>
      <c r="F386" s="70">
        <v>2538</v>
      </c>
      <c r="G386" s="71">
        <v>47877</v>
      </c>
      <c r="H386" s="70" t="s">
        <v>141</v>
      </c>
      <c r="I386" s="70" t="s">
        <v>240</v>
      </c>
      <c r="J386" s="72" t="s">
        <v>308</v>
      </c>
      <c r="K386" s="72" t="s">
        <v>36</v>
      </c>
      <c r="L386" s="95" t="s">
        <v>305</v>
      </c>
      <c r="M386" s="95" t="s">
        <v>38</v>
      </c>
      <c r="N386" s="92">
        <v>2688402</v>
      </c>
      <c r="O386" s="75" t="s">
        <v>785</v>
      </c>
      <c r="P386" s="76" t="s">
        <v>786</v>
      </c>
      <c r="Q386" s="172">
        <v>46267</v>
      </c>
      <c r="R386" s="77">
        <v>46444</v>
      </c>
      <c r="S386" s="176">
        <v>46255</v>
      </c>
      <c r="T386" s="78">
        <v>46262</v>
      </c>
      <c r="U386" s="78">
        <v>46265</v>
      </c>
      <c r="V386" s="79" t="s">
        <v>41</v>
      </c>
      <c r="W386" s="79" t="s">
        <v>32</v>
      </c>
      <c r="X386" s="80" t="s">
        <v>41</v>
      </c>
      <c r="Y386" s="76" t="s">
        <v>32</v>
      </c>
      <c r="Z386" s="68"/>
      <c r="AA386" s="130" t="s">
        <v>43</v>
      </c>
      <c r="AB386" s="73">
        <f>+VLOOKUP(A386,'[1]VALID RIM NUEVAM'!A$1:N$65536,14,0)</f>
        <v>2688402</v>
      </c>
      <c r="AC386" s="70"/>
      <c r="AD386" s="70"/>
      <c r="AE386" s="70"/>
    </row>
    <row r="387" spans="1:31" ht="45">
      <c r="A387" s="128" t="s">
        <v>807</v>
      </c>
      <c r="B387" s="129" t="s">
        <v>309</v>
      </c>
      <c r="C387" s="128" t="s">
        <v>310</v>
      </c>
      <c r="D387" s="128">
        <v>8550000000</v>
      </c>
      <c r="E387" s="128" t="s">
        <v>32</v>
      </c>
      <c r="F387" s="130">
        <v>2538</v>
      </c>
      <c r="G387" s="131">
        <v>47877</v>
      </c>
      <c r="H387" s="130" t="s">
        <v>141</v>
      </c>
      <c r="I387" s="130" t="s">
        <v>240</v>
      </c>
      <c r="J387" s="132" t="s">
        <v>311</v>
      </c>
      <c r="K387" s="132" t="s">
        <v>36</v>
      </c>
      <c r="L387" s="144" t="s">
        <v>305</v>
      </c>
      <c r="M387" s="144" t="s">
        <v>38</v>
      </c>
      <c r="N387" s="92">
        <v>2688402</v>
      </c>
      <c r="O387" s="75" t="s">
        <v>785</v>
      </c>
      <c r="P387" s="76" t="s">
        <v>786</v>
      </c>
      <c r="Q387" s="172">
        <v>46267</v>
      </c>
      <c r="R387" s="77">
        <v>46444</v>
      </c>
      <c r="S387" s="176">
        <v>46255</v>
      </c>
      <c r="T387" s="78">
        <v>46262</v>
      </c>
      <c r="U387" s="78">
        <v>46265</v>
      </c>
      <c r="V387" s="79" t="s">
        <v>41</v>
      </c>
      <c r="W387" s="79" t="s">
        <v>32</v>
      </c>
      <c r="X387" s="80" t="s">
        <v>41</v>
      </c>
      <c r="Y387" s="76" t="s">
        <v>32</v>
      </c>
      <c r="Z387" s="68"/>
      <c r="AA387" s="130" t="s">
        <v>43</v>
      </c>
      <c r="AB387" s="133">
        <f>+VLOOKUP(A387,'[1]VALID RIM NUEVAM'!A$1:N$65536,14,0)</f>
        <v>2688402</v>
      </c>
      <c r="AC387" s="130"/>
      <c r="AD387" s="130"/>
      <c r="AE387" s="130"/>
    </row>
    <row r="388" spans="1:31" ht="45">
      <c r="A388" s="68" t="s">
        <v>808</v>
      </c>
      <c r="B388" s="69" t="s">
        <v>312</v>
      </c>
      <c r="C388" s="68" t="s">
        <v>313</v>
      </c>
      <c r="D388" s="68">
        <v>8550000000</v>
      </c>
      <c r="E388" s="68" t="s">
        <v>32</v>
      </c>
      <c r="F388" s="70">
        <v>2538</v>
      </c>
      <c r="G388" s="71">
        <v>47877</v>
      </c>
      <c r="H388" s="70" t="s">
        <v>141</v>
      </c>
      <c r="I388" s="70" t="s">
        <v>240</v>
      </c>
      <c r="J388" s="72" t="s">
        <v>314</v>
      </c>
      <c r="K388" s="72" t="s">
        <v>36</v>
      </c>
      <c r="L388" s="95" t="s">
        <v>305</v>
      </c>
      <c r="M388" s="95" t="s">
        <v>38</v>
      </c>
      <c r="N388" s="92">
        <v>2688402</v>
      </c>
      <c r="O388" s="75" t="s">
        <v>785</v>
      </c>
      <c r="P388" s="76" t="s">
        <v>786</v>
      </c>
      <c r="Q388" s="172">
        <v>46267</v>
      </c>
      <c r="R388" s="77">
        <v>46444</v>
      </c>
      <c r="S388" s="176">
        <v>46255</v>
      </c>
      <c r="T388" s="78">
        <v>46262</v>
      </c>
      <c r="U388" s="78">
        <v>46265</v>
      </c>
      <c r="V388" s="79" t="s">
        <v>41</v>
      </c>
      <c r="W388" s="79" t="s">
        <v>32</v>
      </c>
      <c r="X388" s="80" t="s">
        <v>41</v>
      </c>
      <c r="Y388" s="76" t="s">
        <v>32</v>
      </c>
      <c r="Z388" s="68"/>
      <c r="AA388" s="130" t="s">
        <v>43</v>
      </c>
      <c r="AB388" s="73">
        <f>+VLOOKUP(A388,'[1]VALID RIM NUEVAM'!A$1:N$65536,14,0)</f>
        <v>2688402</v>
      </c>
      <c r="AC388" s="70"/>
      <c r="AD388" s="70"/>
      <c r="AE388" s="70"/>
    </row>
    <row r="389" spans="1:31" ht="45">
      <c r="A389" s="68" t="s">
        <v>809</v>
      </c>
      <c r="B389" s="69" t="s">
        <v>315</v>
      </c>
      <c r="C389" s="68" t="s">
        <v>316</v>
      </c>
      <c r="D389" s="68">
        <v>8550000000</v>
      </c>
      <c r="E389" s="68" t="s">
        <v>32</v>
      </c>
      <c r="F389" s="70">
        <v>2538</v>
      </c>
      <c r="G389" s="71">
        <v>47877</v>
      </c>
      <c r="H389" s="70" t="s">
        <v>141</v>
      </c>
      <c r="I389" s="70" t="s">
        <v>240</v>
      </c>
      <c r="J389" s="72" t="s">
        <v>317</v>
      </c>
      <c r="K389" s="72" t="s">
        <v>36</v>
      </c>
      <c r="L389" s="95" t="s">
        <v>305</v>
      </c>
      <c r="M389" s="95" t="s">
        <v>38</v>
      </c>
      <c r="N389" s="92">
        <v>2688402</v>
      </c>
      <c r="O389" s="75" t="s">
        <v>785</v>
      </c>
      <c r="P389" s="76" t="s">
        <v>786</v>
      </c>
      <c r="Q389" s="172">
        <v>46267</v>
      </c>
      <c r="R389" s="77">
        <v>46444</v>
      </c>
      <c r="S389" s="176">
        <v>46255</v>
      </c>
      <c r="T389" s="78">
        <v>46262</v>
      </c>
      <c r="U389" s="78">
        <v>46265</v>
      </c>
      <c r="V389" s="79" t="s">
        <v>41</v>
      </c>
      <c r="W389" s="79" t="s">
        <v>32</v>
      </c>
      <c r="X389" s="80" t="s">
        <v>41</v>
      </c>
      <c r="Y389" s="76" t="s">
        <v>32</v>
      </c>
      <c r="Z389" s="68"/>
      <c r="AA389" s="130" t="s">
        <v>43</v>
      </c>
      <c r="AB389" s="73">
        <f>+VLOOKUP(A389,'[1]VALID RIM NUEVAM'!A$1:N$65536,14,0)</f>
        <v>2688402</v>
      </c>
      <c r="AC389" s="70"/>
      <c r="AD389" s="70"/>
      <c r="AE389" s="70"/>
    </row>
    <row r="390" spans="1:31" ht="45">
      <c r="A390" s="68" t="s">
        <v>810</v>
      </c>
      <c r="B390" s="69" t="s">
        <v>318</v>
      </c>
      <c r="C390" s="68" t="s">
        <v>319</v>
      </c>
      <c r="D390" s="68">
        <v>8550000000</v>
      </c>
      <c r="E390" s="68" t="s">
        <v>32</v>
      </c>
      <c r="F390" s="70">
        <v>2538</v>
      </c>
      <c r="G390" s="71">
        <v>47877</v>
      </c>
      <c r="H390" s="70" t="s">
        <v>141</v>
      </c>
      <c r="I390" s="70" t="s">
        <v>240</v>
      </c>
      <c r="J390" s="72" t="s">
        <v>317</v>
      </c>
      <c r="K390" s="72" t="s">
        <v>36</v>
      </c>
      <c r="L390" s="95" t="s">
        <v>305</v>
      </c>
      <c r="M390" s="95" t="s">
        <v>38</v>
      </c>
      <c r="N390" s="92">
        <v>2688402</v>
      </c>
      <c r="O390" s="75" t="s">
        <v>785</v>
      </c>
      <c r="P390" s="76" t="s">
        <v>786</v>
      </c>
      <c r="Q390" s="172">
        <v>46267</v>
      </c>
      <c r="R390" s="77">
        <v>46444</v>
      </c>
      <c r="S390" s="176">
        <v>46255</v>
      </c>
      <c r="T390" s="78">
        <v>46262</v>
      </c>
      <c r="U390" s="78">
        <v>46265</v>
      </c>
      <c r="V390" s="79" t="s">
        <v>41</v>
      </c>
      <c r="W390" s="79" t="s">
        <v>32</v>
      </c>
      <c r="X390" s="80" t="s">
        <v>41</v>
      </c>
      <c r="Y390" s="76" t="s">
        <v>32</v>
      </c>
      <c r="Z390" s="68"/>
      <c r="AA390" s="130" t="s">
        <v>43</v>
      </c>
      <c r="AB390" s="73">
        <f>+VLOOKUP(A390,'[1]VALID RIM NUEVAM'!A$1:N$65536,14,0)</f>
        <v>2688402</v>
      </c>
      <c r="AC390" s="70"/>
      <c r="AD390" s="70"/>
      <c r="AE390" s="70"/>
    </row>
    <row r="391" spans="1:31" ht="45">
      <c r="A391" s="128" t="s">
        <v>811</v>
      </c>
      <c r="B391" s="129" t="s">
        <v>320</v>
      </c>
      <c r="C391" s="128" t="s">
        <v>321</v>
      </c>
      <c r="D391" s="128">
        <v>8540000000</v>
      </c>
      <c r="E391" s="128" t="s">
        <v>32</v>
      </c>
      <c r="F391" s="130">
        <v>2538</v>
      </c>
      <c r="G391" s="131">
        <v>47877</v>
      </c>
      <c r="H391" s="130" t="s">
        <v>141</v>
      </c>
      <c r="I391" s="130" t="s">
        <v>240</v>
      </c>
      <c r="J391" s="132" t="s">
        <v>322</v>
      </c>
      <c r="K391" s="132" t="s">
        <v>36</v>
      </c>
      <c r="L391" s="144" t="s">
        <v>305</v>
      </c>
      <c r="M391" s="144" t="s">
        <v>38</v>
      </c>
      <c r="N391" s="92">
        <v>2688402</v>
      </c>
      <c r="O391" s="75" t="s">
        <v>785</v>
      </c>
      <c r="P391" s="76" t="s">
        <v>786</v>
      </c>
      <c r="Q391" s="172">
        <v>46267</v>
      </c>
      <c r="R391" s="77">
        <v>46444</v>
      </c>
      <c r="S391" s="176">
        <v>46255</v>
      </c>
      <c r="T391" s="78">
        <v>46262</v>
      </c>
      <c r="U391" s="78">
        <v>46265</v>
      </c>
      <c r="V391" s="79" t="s">
        <v>41</v>
      </c>
      <c r="W391" s="79" t="s">
        <v>32</v>
      </c>
      <c r="X391" s="80" t="s">
        <v>41</v>
      </c>
      <c r="Y391" s="76" t="s">
        <v>32</v>
      </c>
      <c r="Z391" s="68"/>
      <c r="AA391" s="130" t="s">
        <v>43</v>
      </c>
      <c r="AB391" s="133">
        <f>+VLOOKUP(A391,'[1]VALID RIM NUEVAM'!A$1:N$65536,14,0)</f>
        <v>2688402</v>
      </c>
      <c r="AC391" s="130"/>
      <c r="AD391" s="130"/>
      <c r="AE391" s="130"/>
    </row>
    <row r="392" spans="1:31" ht="45">
      <c r="A392" s="68" t="s">
        <v>812</v>
      </c>
      <c r="B392" s="69" t="s">
        <v>323</v>
      </c>
      <c r="C392" s="68" t="s">
        <v>324</v>
      </c>
      <c r="D392" s="68">
        <v>8540000000</v>
      </c>
      <c r="E392" s="68" t="s">
        <v>32</v>
      </c>
      <c r="F392" s="70">
        <v>2538</v>
      </c>
      <c r="G392" s="71">
        <v>47877</v>
      </c>
      <c r="H392" s="70" t="s">
        <v>141</v>
      </c>
      <c r="I392" s="70" t="s">
        <v>240</v>
      </c>
      <c r="J392" s="72" t="s">
        <v>325</v>
      </c>
      <c r="K392" s="72" t="s">
        <v>36</v>
      </c>
      <c r="L392" s="95" t="s">
        <v>305</v>
      </c>
      <c r="M392" s="95" t="s">
        <v>38</v>
      </c>
      <c r="N392" s="92">
        <v>2688402</v>
      </c>
      <c r="O392" s="75" t="s">
        <v>785</v>
      </c>
      <c r="P392" s="76" t="s">
        <v>786</v>
      </c>
      <c r="Q392" s="172">
        <v>46267</v>
      </c>
      <c r="R392" s="77">
        <v>46444</v>
      </c>
      <c r="S392" s="176">
        <v>46255</v>
      </c>
      <c r="T392" s="78">
        <v>46262</v>
      </c>
      <c r="U392" s="78">
        <v>46265</v>
      </c>
      <c r="V392" s="79" t="s">
        <v>41</v>
      </c>
      <c r="W392" s="79" t="s">
        <v>32</v>
      </c>
      <c r="X392" s="80" t="s">
        <v>41</v>
      </c>
      <c r="Y392" s="76" t="s">
        <v>32</v>
      </c>
      <c r="Z392" s="68"/>
      <c r="AA392" s="130" t="s">
        <v>43</v>
      </c>
      <c r="AB392" s="73">
        <f>+VLOOKUP(A392,'[1]VALID RIM NUEVAM'!A$1:N$65536,14,0)</f>
        <v>2688402</v>
      </c>
      <c r="AC392" s="70"/>
      <c r="AD392" s="70"/>
      <c r="AE392" s="70"/>
    </row>
    <row r="393" spans="1:31" ht="45">
      <c r="A393" s="128" t="s">
        <v>813</v>
      </c>
      <c r="B393" s="129" t="s">
        <v>326</v>
      </c>
      <c r="C393" s="128" t="s">
        <v>814</v>
      </c>
      <c r="D393" s="128">
        <v>8550000000</v>
      </c>
      <c r="E393" s="128" t="s">
        <v>32</v>
      </c>
      <c r="F393" s="130">
        <v>2538</v>
      </c>
      <c r="G393" s="131">
        <v>47877</v>
      </c>
      <c r="H393" s="130" t="s">
        <v>141</v>
      </c>
      <c r="I393" s="130" t="s">
        <v>240</v>
      </c>
      <c r="J393" s="132" t="s">
        <v>328</v>
      </c>
      <c r="K393" s="132" t="s">
        <v>36</v>
      </c>
      <c r="L393" s="144" t="s">
        <v>305</v>
      </c>
      <c r="M393" s="144" t="s">
        <v>38</v>
      </c>
      <c r="N393" s="92">
        <v>2688402</v>
      </c>
      <c r="O393" s="75" t="s">
        <v>785</v>
      </c>
      <c r="P393" s="76" t="s">
        <v>786</v>
      </c>
      <c r="Q393" s="172">
        <v>46267</v>
      </c>
      <c r="R393" s="77">
        <v>46444</v>
      </c>
      <c r="S393" s="176">
        <v>46255</v>
      </c>
      <c r="T393" s="78">
        <v>46262</v>
      </c>
      <c r="U393" s="78">
        <v>46265</v>
      </c>
      <c r="V393" s="79" t="s">
        <v>41</v>
      </c>
      <c r="W393" s="79" t="s">
        <v>32</v>
      </c>
      <c r="X393" s="80" t="s">
        <v>41</v>
      </c>
      <c r="Y393" s="76" t="s">
        <v>32</v>
      </c>
      <c r="Z393" s="68"/>
      <c r="AA393" s="130" t="s">
        <v>43</v>
      </c>
      <c r="AB393" s="133">
        <f>+VLOOKUP(A393,'[1]VALID RIM NUEVAM'!A$1:N$65536,14,0)</f>
        <v>2688402</v>
      </c>
      <c r="AC393" s="130"/>
      <c r="AD393" s="130"/>
      <c r="AE393" s="130"/>
    </row>
    <row r="394" spans="1:31" ht="45">
      <c r="A394" s="68" t="s">
        <v>813</v>
      </c>
      <c r="B394" s="69" t="s">
        <v>326</v>
      </c>
      <c r="C394" s="68" t="s">
        <v>815</v>
      </c>
      <c r="D394" s="68">
        <v>8550000000</v>
      </c>
      <c r="E394" s="68" t="s">
        <v>32</v>
      </c>
      <c r="F394" s="70">
        <v>2538</v>
      </c>
      <c r="G394" s="71">
        <v>47877</v>
      </c>
      <c r="H394" s="70" t="s">
        <v>141</v>
      </c>
      <c r="I394" s="70" t="s">
        <v>240</v>
      </c>
      <c r="J394" s="72" t="s">
        <v>328</v>
      </c>
      <c r="K394" s="72" t="s">
        <v>36</v>
      </c>
      <c r="L394" s="95" t="s">
        <v>305</v>
      </c>
      <c r="M394" s="95" t="s">
        <v>38</v>
      </c>
      <c r="N394" s="92">
        <v>2688402</v>
      </c>
      <c r="O394" s="75" t="s">
        <v>785</v>
      </c>
      <c r="P394" s="76" t="s">
        <v>786</v>
      </c>
      <c r="Q394" s="172">
        <v>46267</v>
      </c>
      <c r="R394" s="77">
        <v>46444</v>
      </c>
      <c r="S394" s="176">
        <v>46255</v>
      </c>
      <c r="T394" s="78">
        <v>46262</v>
      </c>
      <c r="U394" s="78">
        <v>46265</v>
      </c>
      <c r="V394" s="79" t="s">
        <v>41</v>
      </c>
      <c r="W394" s="79" t="s">
        <v>32</v>
      </c>
      <c r="X394" s="80" t="s">
        <v>41</v>
      </c>
      <c r="Y394" s="76" t="s">
        <v>32</v>
      </c>
      <c r="Z394" s="68"/>
      <c r="AA394" s="130" t="s">
        <v>43</v>
      </c>
      <c r="AB394" s="73">
        <f>+VLOOKUP(A394,'[1]VALID RIM NUEVAM'!A$1:N$65536,14,0)</f>
        <v>2688402</v>
      </c>
      <c r="AC394" s="70"/>
      <c r="AD394" s="70"/>
      <c r="AE394" s="70"/>
    </row>
    <row r="395" spans="1:31" ht="45">
      <c r="A395" s="68" t="s">
        <v>813</v>
      </c>
      <c r="B395" s="69" t="s">
        <v>326</v>
      </c>
      <c r="C395" s="68" t="s">
        <v>816</v>
      </c>
      <c r="D395" s="68">
        <v>8550000000</v>
      </c>
      <c r="E395" s="68" t="s">
        <v>32</v>
      </c>
      <c r="F395" s="70">
        <v>2538</v>
      </c>
      <c r="G395" s="71">
        <v>47877</v>
      </c>
      <c r="H395" s="70" t="s">
        <v>141</v>
      </c>
      <c r="I395" s="70" t="s">
        <v>240</v>
      </c>
      <c r="J395" s="72" t="s">
        <v>328</v>
      </c>
      <c r="K395" s="72" t="s">
        <v>36</v>
      </c>
      <c r="L395" s="95" t="s">
        <v>305</v>
      </c>
      <c r="M395" s="95" t="s">
        <v>38</v>
      </c>
      <c r="N395" s="92">
        <v>2688402</v>
      </c>
      <c r="O395" s="75" t="s">
        <v>785</v>
      </c>
      <c r="P395" s="76" t="s">
        <v>786</v>
      </c>
      <c r="Q395" s="172">
        <v>46267</v>
      </c>
      <c r="R395" s="77">
        <v>46444</v>
      </c>
      <c r="S395" s="176">
        <v>46255</v>
      </c>
      <c r="T395" s="78">
        <v>46262</v>
      </c>
      <c r="U395" s="78">
        <v>46265</v>
      </c>
      <c r="V395" s="79" t="s">
        <v>41</v>
      </c>
      <c r="W395" s="79" t="s">
        <v>32</v>
      </c>
      <c r="X395" s="80" t="s">
        <v>41</v>
      </c>
      <c r="Y395" s="76" t="s">
        <v>32</v>
      </c>
      <c r="Z395" s="68"/>
      <c r="AA395" s="130" t="s">
        <v>43</v>
      </c>
      <c r="AB395" s="73">
        <f>+VLOOKUP(A395,'[1]VALID RIM NUEVAM'!A$1:N$65536,14,0)</f>
        <v>2688402</v>
      </c>
      <c r="AC395" s="70"/>
      <c r="AD395" s="70"/>
      <c r="AE395" s="70"/>
    </row>
    <row r="396" spans="1:31" ht="45">
      <c r="A396" s="68" t="s">
        <v>813</v>
      </c>
      <c r="B396" s="69" t="s">
        <v>326</v>
      </c>
      <c r="C396" s="68" t="s">
        <v>817</v>
      </c>
      <c r="D396" s="68">
        <v>8550000000</v>
      </c>
      <c r="E396" s="68" t="s">
        <v>32</v>
      </c>
      <c r="F396" s="70">
        <v>2538</v>
      </c>
      <c r="G396" s="71">
        <v>47877</v>
      </c>
      <c r="H396" s="70" t="s">
        <v>141</v>
      </c>
      <c r="I396" s="70" t="s">
        <v>240</v>
      </c>
      <c r="J396" s="72" t="s">
        <v>328</v>
      </c>
      <c r="K396" s="72" t="s">
        <v>36</v>
      </c>
      <c r="L396" s="95" t="s">
        <v>305</v>
      </c>
      <c r="M396" s="95" t="s">
        <v>38</v>
      </c>
      <c r="N396" s="92">
        <v>2688402</v>
      </c>
      <c r="O396" s="75" t="s">
        <v>785</v>
      </c>
      <c r="P396" s="76" t="s">
        <v>786</v>
      </c>
      <c r="Q396" s="172">
        <v>46267</v>
      </c>
      <c r="R396" s="77">
        <v>46444</v>
      </c>
      <c r="S396" s="176">
        <v>46255</v>
      </c>
      <c r="T396" s="78">
        <v>46262</v>
      </c>
      <c r="U396" s="78">
        <v>46265</v>
      </c>
      <c r="V396" s="79" t="s">
        <v>41</v>
      </c>
      <c r="W396" s="79" t="s">
        <v>32</v>
      </c>
      <c r="X396" s="80" t="s">
        <v>41</v>
      </c>
      <c r="Y396" s="76" t="s">
        <v>32</v>
      </c>
      <c r="Z396" s="68"/>
      <c r="AA396" s="130" t="s">
        <v>43</v>
      </c>
      <c r="AB396" s="73">
        <f>+VLOOKUP(A396,'[1]VALID RIM NUEVAM'!A$1:N$65536,14,0)</f>
        <v>2688402</v>
      </c>
      <c r="AC396" s="70"/>
      <c r="AD396" s="70"/>
      <c r="AE396" s="70"/>
    </row>
    <row r="397" spans="1:31" ht="45">
      <c r="A397" s="128" t="s">
        <v>818</v>
      </c>
      <c r="B397" s="129" t="s">
        <v>329</v>
      </c>
      <c r="C397" s="128" t="s">
        <v>330</v>
      </c>
      <c r="D397" s="128">
        <v>8550000000</v>
      </c>
      <c r="E397" s="128" t="s">
        <v>32</v>
      </c>
      <c r="F397" s="130">
        <v>2538</v>
      </c>
      <c r="G397" s="131">
        <v>47877</v>
      </c>
      <c r="H397" s="130" t="s">
        <v>141</v>
      </c>
      <c r="I397" s="130" t="s">
        <v>240</v>
      </c>
      <c r="J397" s="132" t="s">
        <v>331</v>
      </c>
      <c r="K397" s="132" t="s">
        <v>36</v>
      </c>
      <c r="L397" s="144" t="s">
        <v>305</v>
      </c>
      <c r="M397" s="144" t="s">
        <v>38</v>
      </c>
      <c r="N397" s="92">
        <v>2688402</v>
      </c>
      <c r="O397" s="75" t="s">
        <v>785</v>
      </c>
      <c r="P397" s="76" t="s">
        <v>786</v>
      </c>
      <c r="Q397" s="172">
        <v>46267</v>
      </c>
      <c r="R397" s="77">
        <v>46444</v>
      </c>
      <c r="S397" s="176">
        <v>46255</v>
      </c>
      <c r="T397" s="78">
        <v>46262</v>
      </c>
      <c r="U397" s="78">
        <v>46265</v>
      </c>
      <c r="V397" s="79" t="s">
        <v>41</v>
      </c>
      <c r="W397" s="79" t="s">
        <v>32</v>
      </c>
      <c r="X397" s="80" t="s">
        <v>41</v>
      </c>
      <c r="Y397" s="76" t="s">
        <v>32</v>
      </c>
      <c r="Z397" s="68"/>
      <c r="AA397" s="130" t="s">
        <v>43</v>
      </c>
      <c r="AB397" s="133">
        <f>+VLOOKUP(A397,'[1]VALID RIM NUEVAM'!A$1:N$65536,14,0)</f>
        <v>2688402</v>
      </c>
      <c r="AC397" s="130"/>
      <c r="AD397" s="130"/>
      <c r="AE397" s="130"/>
    </row>
    <row r="398" spans="1:31" ht="45">
      <c r="A398" s="68" t="s">
        <v>819</v>
      </c>
      <c r="B398" s="69" t="s">
        <v>332</v>
      </c>
      <c r="C398" s="68" t="s">
        <v>333</v>
      </c>
      <c r="D398" s="68">
        <v>8550000000</v>
      </c>
      <c r="E398" s="68" t="s">
        <v>32</v>
      </c>
      <c r="F398" s="70">
        <v>2538</v>
      </c>
      <c r="G398" s="71">
        <v>47877</v>
      </c>
      <c r="H398" s="70" t="s">
        <v>141</v>
      </c>
      <c r="I398" s="70" t="s">
        <v>240</v>
      </c>
      <c r="J398" s="72" t="s">
        <v>331</v>
      </c>
      <c r="K398" s="72" t="s">
        <v>36</v>
      </c>
      <c r="L398" s="144" t="s">
        <v>305</v>
      </c>
      <c r="M398" s="144" t="s">
        <v>38</v>
      </c>
      <c r="N398" s="138">
        <v>2688402</v>
      </c>
      <c r="O398" s="136" t="s">
        <v>785</v>
      </c>
      <c r="P398" s="139" t="s">
        <v>786</v>
      </c>
      <c r="Q398" s="160">
        <v>46267</v>
      </c>
      <c r="R398" s="140">
        <v>46444</v>
      </c>
      <c r="S398" s="162">
        <v>46255</v>
      </c>
      <c r="T398" s="137">
        <v>46262</v>
      </c>
      <c r="U398" s="137">
        <v>46265</v>
      </c>
      <c r="V398" s="142" t="s">
        <v>41</v>
      </c>
      <c r="W398" s="142" t="s">
        <v>32</v>
      </c>
      <c r="X398" s="143" t="s">
        <v>41</v>
      </c>
      <c r="Y398" s="139" t="s">
        <v>32</v>
      </c>
      <c r="Z398" s="128"/>
      <c r="AA398" s="130" t="s">
        <v>43</v>
      </c>
      <c r="AB398" s="73">
        <f>+VLOOKUP(A398,'[1]VALID RIM NUEVAM'!A$1:N$65536,14,0)</f>
        <v>2688402</v>
      </c>
      <c r="AC398" s="70"/>
      <c r="AD398" s="70"/>
      <c r="AE398" s="70"/>
    </row>
    <row r="399" spans="1:31" ht="45">
      <c r="A399" s="68" t="s">
        <v>820</v>
      </c>
      <c r="B399" s="69" t="s">
        <v>334</v>
      </c>
      <c r="C399" s="68" t="s">
        <v>335</v>
      </c>
      <c r="D399" s="68">
        <v>8550000000</v>
      </c>
      <c r="E399" s="68" t="s">
        <v>32</v>
      </c>
      <c r="F399" s="70">
        <v>2538</v>
      </c>
      <c r="G399" s="71">
        <v>47877</v>
      </c>
      <c r="H399" s="70" t="s">
        <v>141</v>
      </c>
      <c r="I399" s="70" t="s">
        <v>240</v>
      </c>
      <c r="J399" s="72" t="s">
        <v>336</v>
      </c>
      <c r="K399" s="72" t="s">
        <v>36</v>
      </c>
      <c r="L399" s="144" t="s">
        <v>305</v>
      </c>
      <c r="M399" s="144" t="s">
        <v>38</v>
      </c>
      <c r="N399" s="138">
        <v>2688402</v>
      </c>
      <c r="O399" s="136" t="s">
        <v>785</v>
      </c>
      <c r="P399" s="139" t="s">
        <v>786</v>
      </c>
      <c r="Q399" s="160">
        <v>46267</v>
      </c>
      <c r="R399" s="140">
        <v>46444</v>
      </c>
      <c r="S399" s="162">
        <v>46255</v>
      </c>
      <c r="T399" s="137">
        <v>46262</v>
      </c>
      <c r="U399" s="137">
        <v>46265</v>
      </c>
      <c r="V399" s="142" t="s">
        <v>41</v>
      </c>
      <c r="W399" s="142" t="s">
        <v>32</v>
      </c>
      <c r="X399" s="143" t="s">
        <v>41</v>
      </c>
      <c r="Y399" s="139" t="s">
        <v>32</v>
      </c>
      <c r="Z399" s="128"/>
      <c r="AA399" s="130" t="s">
        <v>43</v>
      </c>
      <c r="AB399" s="73">
        <f>+VLOOKUP(A399,'[1]VALID RIM NUEVAM'!A$1:N$65536,14,0)</f>
        <v>2688402</v>
      </c>
      <c r="AC399" s="70"/>
      <c r="AD399" s="70"/>
      <c r="AE399" s="70"/>
    </row>
    <row r="400" spans="1:31" ht="45">
      <c r="A400" s="68" t="s">
        <v>821</v>
      </c>
      <c r="B400" s="69" t="s">
        <v>337</v>
      </c>
      <c r="C400" s="68" t="s">
        <v>338</v>
      </c>
      <c r="D400" s="68">
        <v>8550000000</v>
      </c>
      <c r="E400" s="68" t="s">
        <v>32</v>
      </c>
      <c r="F400" s="70">
        <v>2538</v>
      </c>
      <c r="G400" s="71">
        <v>47877</v>
      </c>
      <c r="H400" s="70" t="s">
        <v>141</v>
      </c>
      <c r="I400" s="70" t="s">
        <v>240</v>
      </c>
      <c r="J400" s="72" t="s">
        <v>339</v>
      </c>
      <c r="K400" s="72" t="s">
        <v>36</v>
      </c>
      <c r="L400" s="144" t="s">
        <v>305</v>
      </c>
      <c r="M400" s="144" t="s">
        <v>38</v>
      </c>
      <c r="N400" s="138">
        <v>2688402</v>
      </c>
      <c r="O400" s="136" t="s">
        <v>785</v>
      </c>
      <c r="P400" s="139" t="s">
        <v>786</v>
      </c>
      <c r="Q400" s="160">
        <v>46267</v>
      </c>
      <c r="R400" s="140">
        <v>46444</v>
      </c>
      <c r="S400" s="162">
        <v>46255</v>
      </c>
      <c r="T400" s="137">
        <v>46262</v>
      </c>
      <c r="U400" s="137">
        <v>46265</v>
      </c>
      <c r="V400" s="142" t="s">
        <v>41</v>
      </c>
      <c r="W400" s="142" t="s">
        <v>32</v>
      </c>
      <c r="X400" s="143" t="s">
        <v>41</v>
      </c>
      <c r="Y400" s="139" t="s">
        <v>32</v>
      </c>
      <c r="Z400" s="128"/>
      <c r="AA400" s="130" t="s">
        <v>43</v>
      </c>
      <c r="AB400" s="73">
        <f>+VLOOKUP(A400,'[1]VALID RIM NUEVAM'!A$1:N$65536,14,0)</f>
        <v>2688402</v>
      </c>
      <c r="AC400" s="70"/>
      <c r="AD400" s="70"/>
      <c r="AE400" s="70"/>
    </row>
    <row r="401" spans="1:31" ht="45">
      <c r="A401" s="68" t="s">
        <v>822</v>
      </c>
      <c r="B401" s="69" t="s">
        <v>340</v>
      </c>
      <c r="C401" s="68" t="s">
        <v>341</v>
      </c>
      <c r="D401" s="68">
        <v>8550000000</v>
      </c>
      <c r="E401" s="68" t="s">
        <v>32</v>
      </c>
      <c r="F401" s="70">
        <v>2538</v>
      </c>
      <c r="G401" s="71">
        <v>47877</v>
      </c>
      <c r="H401" s="70" t="s">
        <v>141</v>
      </c>
      <c r="I401" s="70" t="s">
        <v>240</v>
      </c>
      <c r="J401" s="72" t="s">
        <v>339</v>
      </c>
      <c r="K401" s="72" t="s">
        <v>36</v>
      </c>
      <c r="L401" s="144" t="s">
        <v>305</v>
      </c>
      <c r="M401" s="144" t="s">
        <v>38</v>
      </c>
      <c r="N401" s="138">
        <v>2688402</v>
      </c>
      <c r="O401" s="136" t="s">
        <v>785</v>
      </c>
      <c r="P401" s="139" t="s">
        <v>786</v>
      </c>
      <c r="Q401" s="160">
        <v>46267</v>
      </c>
      <c r="R401" s="140">
        <v>46444</v>
      </c>
      <c r="S401" s="162">
        <v>46255</v>
      </c>
      <c r="T401" s="137">
        <v>46262</v>
      </c>
      <c r="U401" s="137">
        <v>46265</v>
      </c>
      <c r="V401" s="142" t="s">
        <v>41</v>
      </c>
      <c r="W401" s="142" t="s">
        <v>32</v>
      </c>
      <c r="X401" s="143" t="s">
        <v>41</v>
      </c>
      <c r="Y401" s="139" t="s">
        <v>32</v>
      </c>
      <c r="Z401" s="128"/>
      <c r="AA401" s="130" t="s">
        <v>43</v>
      </c>
      <c r="AB401" s="73">
        <f>+VLOOKUP(A401,'[1]VALID RIM NUEVAM'!A$1:N$65536,14,0)</f>
        <v>2688402</v>
      </c>
      <c r="AC401" s="70"/>
      <c r="AD401" s="70"/>
      <c r="AE401" s="70"/>
    </row>
    <row r="402" spans="1:31" ht="45">
      <c r="A402" s="68" t="s">
        <v>823</v>
      </c>
      <c r="B402" s="69" t="s">
        <v>342</v>
      </c>
      <c r="C402" s="68" t="s">
        <v>343</v>
      </c>
      <c r="D402" s="68">
        <v>8550000000</v>
      </c>
      <c r="E402" s="68" t="s">
        <v>32</v>
      </c>
      <c r="F402" s="70">
        <v>2538</v>
      </c>
      <c r="G402" s="71">
        <v>47877</v>
      </c>
      <c r="H402" s="70" t="s">
        <v>141</v>
      </c>
      <c r="I402" s="70" t="s">
        <v>240</v>
      </c>
      <c r="J402" s="72" t="s">
        <v>339</v>
      </c>
      <c r="K402" s="72" t="s">
        <v>36</v>
      </c>
      <c r="L402" s="144" t="s">
        <v>305</v>
      </c>
      <c r="M402" s="144" t="s">
        <v>38</v>
      </c>
      <c r="N402" s="138">
        <v>2688402</v>
      </c>
      <c r="O402" s="136" t="s">
        <v>785</v>
      </c>
      <c r="P402" s="139" t="s">
        <v>786</v>
      </c>
      <c r="Q402" s="160">
        <v>46267</v>
      </c>
      <c r="R402" s="140">
        <v>46444</v>
      </c>
      <c r="S402" s="162">
        <v>46255</v>
      </c>
      <c r="T402" s="137">
        <v>46262</v>
      </c>
      <c r="U402" s="137">
        <v>46265</v>
      </c>
      <c r="V402" s="142" t="s">
        <v>41</v>
      </c>
      <c r="W402" s="142" t="s">
        <v>32</v>
      </c>
      <c r="X402" s="143" t="s">
        <v>41</v>
      </c>
      <c r="Y402" s="139" t="s">
        <v>32</v>
      </c>
      <c r="Z402" s="128"/>
      <c r="AA402" s="130" t="s">
        <v>43</v>
      </c>
      <c r="AB402" s="73">
        <f>+VLOOKUP(A402,'[1]VALID RIM NUEVAM'!A$1:N$65536,14,0)</f>
        <v>2688402</v>
      </c>
      <c r="AC402" s="70"/>
      <c r="AD402" s="70"/>
      <c r="AE402" s="70"/>
    </row>
    <row r="403" spans="1:31" ht="45">
      <c r="A403" s="68" t="s">
        <v>824</v>
      </c>
      <c r="B403" s="69" t="s">
        <v>344</v>
      </c>
      <c r="C403" s="68" t="s">
        <v>345</v>
      </c>
      <c r="D403" s="68">
        <v>8540000000</v>
      </c>
      <c r="E403" s="68" t="s">
        <v>32</v>
      </c>
      <c r="F403" s="70">
        <v>2538</v>
      </c>
      <c r="G403" s="71">
        <v>47877</v>
      </c>
      <c r="H403" s="70" t="s">
        <v>141</v>
      </c>
      <c r="I403" s="70" t="s">
        <v>240</v>
      </c>
      <c r="J403" s="72" t="s">
        <v>346</v>
      </c>
      <c r="K403" s="72" t="s">
        <v>36</v>
      </c>
      <c r="L403" s="144" t="s">
        <v>305</v>
      </c>
      <c r="M403" s="144" t="s">
        <v>38</v>
      </c>
      <c r="N403" s="138">
        <v>2688402</v>
      </c>
      <c r="O403" s="136" t="s">
        <v>785</v>
      </c>
      <c r="P403" s="139" t="s">
        <v>786</v>
      </c>
      <c r="Q403" s="160">
        <v>46267</v>
      </c>
      <c r="R403" s="140">
        <v>46444</v>
      </c>
      <c r="S403" s="162">
        <v>46255</v>
      </c>
      <c r="T403" s="137">
        <v>46262</v>
      </c>
      <c r="U403" s="137">
        <v>46265</v>
      </c>
      <c r="V403" s="142" t="s">
        <v>41</v>
      </c>
      <c r="W403" s="142" t="s">
        <v>32</v>
      </c>
      <c r="X403" s="143" t="s">
        <v>41</v>
      </c>
      <c r="Y403" s="139" t="s">
        <v>32</v>
      </c>
      <c r="Z403" s="128"/>
      <c r="AA403" s="130" t="s">
        <v>43</v>
      </c>
      <c r="AB403" s="73">
        <f>+VLOOKUP(A403,'[1]VALID RIM NUEVAM'!A$1:N$65536,14,0)</f>
        <v>2688402</v>
      </c>
      <c r="AC403" s="70"/>
      <c r="AD403" s="70"/>
      <c r="AE403" s="70"/>
    </row>
    <row r="404" spans="1:31" ht="45">
      <c r="A404" s="68" t="s">
        <v>825</v>
      </c>
      <c r="B404" s="69" t="s">
        <v>663</v>
      </c>
      <c r="C404" s="68" t="s">
        <v>664</v>
      </c>
      <c r="D404" s="68">
        <v>8535909000</v>
      </c>
      <c r="E404" s="68" t="s">
        <v>32</v>
      </c>
      <c r="F404" s="70">
        <v>2538</v>
      </c>
      <c r="G404" s="71">
        <v>47877</v>
      </c>
      <c r="H404" s="70" t="s">
        <v>141</v>
      </c>
      <c r="I404" s="70" t="s">
        <v>240</v>
      </c>
      <c r="J404" s="72">
        <v>26.36</v>
      </c>
      <c r="K404" s="72" t="s">
        <v>36</v>
      </c>
      <c r="L404" s="144" t="s">
        <v>305</v>
      </c>
      <c r="M404" s="144" t="s">
        <v>38</v>
      </c>
      <c r="N404" s="138">
        <v>2688402</v>
      </c>
      <c r="O404" s="136" t="s">
        <v>785</v>
      </c>
      <c r="P404" s="139" t="s">
        <v>786</v>
      </c>
      <c r="Q404" s="160">
        <v>46267</v>
      </c>
      <c r="R404" s="140">
        <v>46444</v>
      </c>
      <c r="S404" s="162">
        <v>46255</v>
      </c>
      <c r="T404" s="137">
        <v>46262</v>
      </c>
      <c r="U404" s="137">
        <v>46265</v>
      </c>
      <c r="V404" s="142" t="s">
        <v>41</v>
      </c>
      <c r="W404" s="142" t="s">
        <v>32</v>
      </c>
      <c r="X404" s="143" t="s">
        <v>41</v>
      </c>
      <c r="Y404" s="139" t="s">
        <v>32</v>
      </c>
      <c r="Z404" s="128"/>
      <c r="AA404" s="130" t="s">
        <v>43</v>
      </c>
      <c r="AB404" s="73">
        <f>+VLOOKUP(A404,'[1]VALID RIM NUEVAM'!A$1:N$65536,14,0)</f>
        <v>2688402</v>
      </c>
      <c r="AC404" s="70"/>
      <c r="AD404" s="70"/>
      <c r="AE404" s="70"/>
    </row>
    <row r="405" spans="1:31" ht="300">
      <c r="A405" s="68" t="str">
        <f t="shared" ref="A405:A432" si="6">+B405&amp;I405</f>
        <v>750301108703M COMPANY</v>
      </c>
      <c r="B405" s="69">
        <v>75030110870</v>
      </c>
      <c r="C405" s="68" t="s">
        <v>826</v>
      </c>
      <c r="D405" s="68">
        <v>3215190000</v>
      </c>
      <c r="E405" s="68" t="s">
        <v>32</v>
      </c>
      <c r="F405" s="70" t="s">
        <v>827</v>
      </c>
      <c r="G405" s="71" t="s">
        <v>32</v>
      </c>
      <c r="H405" s="70" t="s">
        <v>163</v>
      </c>
      <c r="I405" s="70" t="s">
        <v>35</v>
      </c>
      <c r="J405" s="72" t="s">
        <v>828</v>
      </c>
      <c r="K405" s="72" t="s">
        <v>36</v>
      </c>
      <c r="L405" s="133" t="s">
        <v>37</v>
      </c>
      <c r="M405" s="133" t="s">
        <v>164</v>
      </c>
      <c r="N405" s="145">
        <v>2688389</v>
      </c>
      <c r="O405" s="136" t="s">
        <v>829</v>
      </c>
      <c r="P405" s="139" t="s">
        <v>830</v>
      </c>
      <c r="Q405" s="160">
        <v>46267</v>
      </c>
      <c r="R405" s="140">
        <v>46448</v>
      </c>
      <c r="S405" s="162">
        <v>46255</v>
      </c>
      <c r="T405" s="137">
        <v>46259</v>
      </c>
      <c r="U405" s="137">
        <v>46260</v>
      </c>
      <c r="V405" s="142" t="s">
        <v>682</v>
      </c>
      <c r="W405" s="142" t="s">
        <v>831</v>
      </c>
      <c r="X405" s="143" t="s">
        <v>41</v>
      </c>
      <c r="Y405" s="139" t="s">
        <v>32</v>
      </c>
      <c r="Z405" s="128"/>
      <c r="AA405" s="130" t="s">
        <v>43</v>
      </c>
      <c r="AB405" s="68" t="e">
        <f>+VLOOKUP(A405,'[1]VALID RIM NUEVAM'!A$1:O$65536,15,0)</f>
        <v>#N/A</v>
      </c>
      <c r="AC405" s="70"/>
      <c r="AD405" s="70"/>
      <c r="AE405" s="70"/>
    </row>
    <row r="406" spans="1:31" ht="300">
      <c r="A406" s="68" t="str">
        <f t="shared" si="6"/>
        <v>604551025113M COMPANY</v>
      </c>
      <c r="B406" s="69">
        <v>60455102511</v>
      </c>
      <c r="C406" s="68">
        <v>5907</v>
      </c>
      <c r="D406" s="68">
        <v>3824999900</v>
      </c>
      <c r="E406" s="68" t="s">
        <v>32</v>
      </c>
      <c r="F406" s="70" t="s">
        <v>832</v>
      </c>
      <c r="G406" s="71" t="s">
        <v>32</v>
      </c>
      <c r="H406" s="70" t="s">
        <v>163</v>
      </c>
      <c r="I406" s="70" t="s">
        <v>35</v>
      </c>
      <c r="J406" s="72" t="s">
        <v>833</v>
      </c>
      <c r="K406" s="72" t="s">
        <v>36</v>
      </c>
      <c r="L406" s="133" t="s">
        <v>37</v>
      </c>
      <c r="M406" s="133" t="s">
        <v>834</v>
      </c>
      <c r="N406" s="145">
        <v>2688389</v>
      </c>
      <c r="O406" s="136" t="s">
        <v>829</v>
      </c>
      <c r="P406" s="139" t="s">
        <v>830</v>
      </c>
      <c r="Q406" s="160">
        <v>46267</v>
      </c>
      <c r="R406" s="140">
        <v>46448</v>
      </c>
      <c r="S406" s="162">
        <v>46255</v>
      </c>
      <c r="T406" s="137">
        <v>46259</v>
      </c>
      <c r="U406" s="137">
        <v>46260</v>
      </c>
      <c r="V406" s="142" t="s">
        <v>682</v>
      </c>
      <c r="W406" s="142" t="s">
        <v>831</v>
      </c>
      <c r="X406" s="143" t="s">
        <v>41</v>
      </c>
      <c r="Y406" s="139" t="s">
        <v>32</v>
      </c>
      <c r="Z406" s="128"/>
      <c r="AA406" s="130" t="s">
        <v>43</v>
      </c>
      <c r="AB406" s="68" t="e">
        <f>+VLOOKUP(A406,'[1]VALID RIM NUEVAM'!A$1:O$65536,15,0)</f>
        <v>#N/A</v>
      </c>
      <c r="AC406" s="70"/>
      <c r="AD406" s="70"/>
      <c r="AE406" s="70"/>
    </row>
    <row r="407" spans="1:31" ht="300">
      <c r="A407" s="68" t="str">
        <f t="shared" si="6"/>
        <v>624960803003M COMPANY</v>
      </c>
      <c r="B407" s="69">
        <v>62496080300</v>
      </c>
      <c r="C407" s="68" t="s">
        <v>835</v>
      </c>
      <c r="D407" s="68">
        <v>3506910000</v>
      </c>
      <c r="E407" s="68" t="s">
        <v>32</v>
      </c>
      <c r="F407" s="70" t="s">
        <v>836</v>
      </c>
      <c r="G407" s="71" t="s">
        <v>32</v>
      </c>
      <c r="H407" s="70" t="s">
        <v>163</v>
      </c>
      <c r="I407" s="70" t="s">
        <v>35</v>
      </c>
      <c r="J407" s="72" t="s">
        <v>837</v>
      </c>
      <c r="K407" s="72" t="s">
        <v>36</v>
      </c>
      <c r="L407" s="133" t="s">
        <v>37</v>
      </c>
      <c r="M407" s="133" t="s">
        <v>86</v>
      </c>
      <c r="N407" s="145">
        <v>2688389</v>
      </c>
      <c r="O407" s="136" t="s">
        <v>829</v>
      </c>
      <c r="P407" s="139" t="s">
        <v>830</v>
      </c>
      <c r="Q407" s="160">
        <v>46267</v>
      </c>
      <c r="R407" s="140">
        <v>46448</v>
      </c>
      <c r="S407" s="162">
        <v>46255</v>
      </c>
      <c r="T407" s="137">
        <v>46259</v>
      </c>
      <c r="U407" s="137">
        <v>46260</v>
      </c>
      <c r="V407" s="142" t="s">
        <v>682</v>
      </c>
      <c r="W407" s="142" t="s">
        <v>831</v>
      </c>
      <c r="X407" s="143" t="s">
        <v>41</v>
      </c>
      <c r="Y407" s="139" t="s">
        <v>32</v>
      </c>
      <c r="Z407" s="128"/>
      <c r="AA407" s="130" t="s">
        <v>43</v>
      </c>
      <c r="AB407" s="68" t="e">
        <f>+VLOOKUP(A407,'[1]VALID RIM NUEVAM'!A$1:O$65536,15,0)</f>
        <v>#N/A</v>
      </c>
      <c r="AC407" s="70"/>
      <c r="AD407" s="70"/>
      <c r="AE407" s="70"/>
    </row>
    <row r="408" spans="1:31" ht="300">
      <c r="A408" s="68" t="str">
        <f t="shared" si="6"/>
        <v>624983803023M COMPANY</v>
      </c>
      <c r="B408" s="69">
        <v>62498380302</v>
      </c>
      <c r="C408" s="68" t="s">
        <v>838</v>
      </c>
      <c r="D408" s="68">
        <v>3506910000</v>
      </c>
      <c r="E408" s="68" t="s">
        <v>32</v>
      </c>
      <c r="F408" s="70" t="s">
        <v>836</v>
      </c>
      <c r="G408" s="71" t="s">
        <v>32</v>
      </c>
      <c r="H408" s="70" t="s">
        <v>163</v>
      </c>
      <c r="I408" s="70" t="s">
        <v>35</v>
      </c>
      <c r="J408" s="72" t="s">
        <v>839</v>
      </c>
      <c r="K408" s="72" t="s">
        <v>36</v>
      </c>
      <c r="L408" s="133" t="s">
        <v>37</v>
      </c>
      <c r="M408" s="133" t="s">
        <v>46</v>
      </c>
      <c r="N408" s="145">
        <v>2688389</v>
      </c>
      <c r="O408" s="136" t="s">
        <v>829</v>
      </c>
      <c r="P408" s="139" t="s">
        <v>830</v>
      </c>
      <c r="Q408" s="160">
        <v>46267</v>
      </c>
      <c r="R408" s="140">
        <v>46448</v>
      </c>
      <c r="S408" s="162">
        <v>46255</v>
      </c>
      <c r="T408" s="137">
        <v>46259</v>
      </c>
      <c r="U408" s="137">
        <v>46260</v>
      </c>
      <c r="V408" s="142" t="s">
        <v>682</v>
      </c>
      <c r="W408" s="142" t="s">
        <v>831</v>
      </c>
      <c r="X408" s="143" t="s">
        <v>41</v>
      </c>
      <c r="Y408" s="139" t="s">
        <v>32</v>
      </c>
      <c r="Z408" s="128"/>
      <c r="AA408" s="130" t="s">
        <v>43</v>
      </c>
      <c r="AB408" s="68" t="e">
        <f>+VLOOKUP(A408,'[1]VALID RIM NUEVAM'!A$1:O$65536,15,0)</f>
        <v>#N/A</v>
      </c>
      <c r="AC408" s="70"/>
      <c r="AD408" s="70"/>
      <c r="AE408" s="70"/>
    </row>
    <row r="409" spans="1:31" ht="300">
      <c r="A409" s="68" t="str">
        <f t="shared" si="6"/>
        <v>609800309303M COMPANY</v>
      </c>
      <c r="B409" s="69">
        <v>60980030930</v>
      </c>
      <c r="C409" s="68">
        <v>8115</v>
      </c>
      <c r="D409" s="68">
        <v>3506100000</v>
      </c>
      <c r="E409" s="68" t="s">
        <v>32</v>
      </c>
      <c r="F409" s="70" t="s">
        <v>840</v>
      </c>
      <c r="G409" s="71" t="s">
        <v>32</v>
      </c>
      <c r="H409" s="70" t="s">
        <v>163</v>
      </c>
      <c r="I409" s="70" t="s">
        <v>35</v>
      </c>
      <c r="J409" s="72">
        <v>7</v>
      </c>
      <c r="K409" s="72" t="s">
        <v>36</v>
      </c>
      <c r="L409" s="133" t="s">
        <v>37</v>
      </c>
      <c r="M409" s="133" t="s">
        <v>46</v>
      </c>
      <c r="N409" s="145">
        <v>2688389</v>
      </c>
      <c r="O409" s="136" t="s">
        <v>829</v>
      </c>
      <c r="P409" s="139" t="s">
        <v>830</v>
      </c>
      <c r="Q409" s="160">
        <v>46267</v>
      </c>
      <c r="R409" s="140">
        <v>46448</v>
      </c>
      <c r="S409" s="162">
        <v>46255</v>
      </c>
      <c r="T409" s="137">
        <v>46259</v>
      </c>
      <c r="U409" s="137">
        <v>46260</v>
      </c>
      <c r="V409" s="142" t="s">
        <v>682</v>
      </c>
      <c r="W409" s="142" t="s">
        <v>831</v>
      </c>
      <c r="X409" s="143" t="s">
        <v>41</v>
      </c>
      <c r="Y409" s="139" t="s">
        <v>32</v>
      </c>
      <c r="Z409" s="128"/>
      <c r="AA409" s="130" t="s">
        <v>43</v>
      </c>
      <c r="AB409" s="68" t="e">
        <f>+VLOOKUP(A409,'[1]VALID RIM NUEVAM'!A$1:O$65536,15,0)</f>
        <v>#N/A</v>
      </c>
      <c r="AC409" s="70"/>
      <c r="AD409" s="70"/>
      <c r="AE409" s="70"/>
    </row>
    <row r="410" spans="1:31" ht="300">
      <c r="A410" s="68" t="str">
        <f t="shared" si="6"/>
        <v>609801077793M COMPANY</v>
      </c>
      <c r="B410" s="69">
        <v>60980107779</v>
      </c>
      <c r="C410" s="68">
        <v>5917</v>
      </c>
      <c r="D410" s="68">
        <v>3208900000</v>
      </c>
      <c r="E410" s="68" t="s">
        <v>32</v>
      </c>
      <c r="F410" s="70" t="s">
        <v>841</v>
      </c>
      <c r="G410" s="71" t="s">
        <v>32</v>
      </c>
      <c r="H410" s="70" t="s">
        <v>163</v>
      </c>
      <c r="I410" s="70" t="s">
        <v>35</v>
      </c>
      <c r="J410" s="72" t="s">
        <v>842</v>
      </c>
      <c r="K410" s="72" t="s">
        <v>36</v>
      </c>
      <c r="L410" s="133" t="s">
        <v>590</v>
      </c>
      <c r="M410" s="133" t="s">
        <v>46</v>
      </c>
      <c r="N410" s="145">
        <v>2688389</v>
      </c>
      <c r="O410" s="136" t="s">
        <v>829</v>
      </c>
      <c r="P410" s="139" t="s">
        <v>830</v>
      </c>
      <c r="Q410" s="160">
        <v>46267</v>
      </c>
      <c r="R410" s="140">
        <v>46448</v>
      </c>
      <c r="S410" s="162">
        <v>46255</v>
      </c>
      <c r="T410" s="137">
        <v>46259</v>
      </c>
      <c r="U410" s="137">
        <v>46260</v>
      </c>
      <c r="V410" s="142" t="s">
        <v>682</v>
      </c>
      <c r="W410" s="142" t="s">
        <v>831</v>
      </c>
      <c r="X410" s="143" t="s">
        <v>41</v>
      </c>
      <c r="Y410" s="139" t="s">
        <v>32</v>
      </c>
      <c r="Z410" s="128"/>
      <c r="AA410" s="130" t="s">
        <v>43</v>
      </c>
      <c r="AB410" s="68" t="e">
        <f>+VLOOKUP(A410,'[1]VALID RIM NUEVAM'!A$1:O$65536,15,0)</f>
        <v>#N/A</v>
      </c>
      <c r="AC410" s="70"/>
      <c r="AD410" s="70"/>
      <c r="AE410" s="70"/>
    </row>
    <row r="411" spans="1:31" ht="300">
      <c r="A411" s="68" t="str">
        <f t="shared" si="6"/>
        <v>750302908703M COMPANY</v>
      </c>
      <c r="B411" s="69">
        <v>75030290870</v>
      </c>
      <c r="C411" s="68" t="s">
        <v>826</v>
      </c>
      <c r="D411" s="68">
        <v>3215190000</v>
      </c>
      <c r="E411" s="68" t="s">
        <v>32</v>
      </c>
      <c r="F411" s="70" t="s">
        <v>827</v>
      </c>
      <c r="G411" s="71" t="s">
        <v>32</v>
      </c>
      <c r="H411" s="70" t="s">
        <v>163</v>
      </c>
      <c r="I411" s="70" t="s">
        <v>35</v>
      </c>
      <c r="J411" s="72" t="s">
        <v>843</v>
      </c>
      <c r="K411" s="72" t="s">
        <v>36</v>
      </c>
      <c r="L411" s="133" t="s">
        <v>590</v>
      </c>
      <c r="M411" s="133" t="s">
        <v>164</v>
      </c>
      <c r="N411" s="145">
        <v>2688389</v>
      </c>
      <c r="O411" s="136" t="s">
        <v>829</v>
      </c>
      <c r="P411" s="139" t="s">
        <v>830</v>
      </c>
      <c r="Q411" s="160">
        <v>46267</v>
      </c>
      <c r="R411" s="140">
        <v>46448</v>
      </c>
      <c r="S411" s="162">
        <v>46255</v>
      </c>
      <c r="T411" s="137">
        <v>46259</v>
      </c>
      <c r="U411" s="137">
        <v>46260</v>
      </c>
      <c r="V411" s="142" t="s">
        <v>682</v>
      </c>
      <c r="W411" s="142" t="s">
        <v>831</v>
      </c>
      <c r="X411" s="143" t="s">
        <v>41</v>
      </c>
      <c r="Y411" s="139" t="s">
        <v>32</v>
      </c>
      <c r="Z411" s="128"/>
      <c r="AA411" s="130" t="s">
        <v>43</v>
      </c>
      <c r="AB411" s="68" t="e">
        <f>+VLOOKUP(A411,'[1]VALID RIM NUEVAM'!A$1:O$65536,15,0)</f>
        <v>#N/A</v>
      </c>
      <c r="AC411" s="70"/>
      <c r="AD411" s="70"/>
      <c r="AE411" s="70"/>
    </row>
    <row r="412" spans="1:31" ht="300">
      <c r="A412" s="68" t="str">
        <f t="shared" si="6"/>
        <v>621099653013M COMPANY</v>
      </c>
      <c r="B412" s="69">
        <v>62109965301</v>
      </c>
      <c r="C412" s="68">
        <v>1099</v>
      </c>
      <c r="D412" s="68">
        <v>3506100000</v>
      </c>
      <c r="E412" s="68" t="s">
        <v>32</v>
      </c>
      <c r="F412" s="70" t="s">
        <v>836</v>
      </c>
      <c r="G412" s="71" t="s">
        <v>32</v>
      </c>
      <c r="H412" s="70" t="s">
        <v>163</v>
      </c>
      <c r="I412" s="70" t="s">
        <v>35</v>
      </c>
      <c r="J412" s="72" t="s">
        <v>844</v>
      </c>
      <c r="K412" s="72" t="s">
        <v>36</v>
      </c>
      <c r="L412" s="133" t="s">
        <v>590</v>
      </c>
      <c r="M412" s="133" t="s">
        <v>46</v>
      </c>
      <c r="N412" s="145">
        <v>2688389</v>
      </c>
      <c r="O412" s="136" t="s">
        <v>829</v>
      </c>
      <c r="P412" s="139" t="s">
        <v>830</v>
      </c>
      <c r="Q412" s="160">
        <v>46267</v>
      </c>
      <c r="R412" s="140">
        <v>46448</v>
      </c>
      <c r="S412" s="162">
        <v>46255</v>
      </c>
      <c r="T412" s="137">
        <v>46259</v>
      </c>
      <c r="U412" s="137">
        <v>46260</v>
      </c>
      <c r="V412" s="142" t="s">
        <v>682</v>
      </c>
      <c r="W412" s="142" t="s">
        <v>831</v>
      </c>
      <c r="X412" s="143" t="s">
        <v>41</v>
      </c>
      <c r="Y412" s="139" t="s">
        <v>32</v>
      </c>
      <c r="Z412" s="128"/>
      <c r="AA412" s="130" t="s">
        <v>43</v>
      </c>
      <c r="AB412" s="68" t="e">
        <f>+VLOOKUP(A412,'[1]VALID RIM NUEVAM'!A$1:O$65536,15,0)</f>
        <v>#N/A</v>
      </c>
      <c r="AC412" s="70"/>
      <c r="AD412" s="70"/>
      <c r="AE412" s="70"/>
    </row>
    <row r="413" spans="1:31" ht="300">
      <c r="A413" s="68" t="str">
        <f t="shared" si="6"/>
        <v>625569266083M COMPANY</v>
      </c>
      <c r="B413" s="69">
        <v>62556926608</v>
      </c>
      <c r="C413" s="68" t="s">
        <v>845</v>
      </c>
      <c r="D413" s="68">
        <v>3214101000</v>
      </c>
      <c r="E413" s="68" t="s">
        <v>32</v>
      </c>
      <c r="F413" s="70" t="s">
        <v>846</v>
      </c>
      <c r="G413" s="71" t="s">
        <v>32</v>
      </c>
      <c r="H413" s="70" t="s">
        <v>163</v>
      </c>
      <c r="I413" s="70" t="s">
        <v>35</v>
      </c>
      <c r="J413" s="72" t="s">
        <v>847</v>
      </c>
      <c r="K413" s="72" t="s">
        <v>36</v>
      </c>
      <c r="L413" s="133" t="s">
        <v>590</v>
      </c>
      <c r="M413" s="133" t="s">
        <v>848</v>
      </c>
      <c r="N413" s="145">
        <v>2688389</v>
      </c>
      <c r="O413" s="136" t="s">
        <v>829</v>
      </c>
      <c r="P413" s="139" t="s">
        <v>830</v>
      </c>
      <c r="Q413" s="160">
        <v>46267</v>
      </c>
      <c r="R413" s="140">
        <v>46448</v>
      </c>
      <c r="S413" s="162">
        <v>46255</v>
      </c>
      <c r="T413" s="137">
        <v>46259</v>
      </c>
      <c r="U413" s="137">
        <v>46260</v>
      </c>
      <c r="V413" s="142" t="s">
        <v>682</v>
      </c>
      <c r="W413" s="142" t="s">
        <v>831</v>
      </c>
      <c r="X413" s="143" t="s">
        <v>41</v>
      </c>
      <c r="Y413" s="139" t="s">
        <v>32</v>
      </c>
      <c r="Z413" s="128"/>
      <c r="AA413" s="130" t="s">
        <v>43</v>
      </c>
      <c r="AB413" s="68" t="e">
        <f>+VLOOKUP(A413,'[1]VALID RIM NUEVAM'!A$1:O$65536,15,0)</f>
        <v>#N/A</v>
      </c>
      <c r="AC413" s="70"/>
      <c r="AD413" s="70"/>
      <c r="AE413" s="70"/>
    </row>
    <row r="414" spans="1:31" ht="300">
      <c r="A414" s="68" t="str">
        <f t="shared" si="6"/>
        <v>624996495563M COMPANY</v>
      </c>
      <c r="B414" s="69">
        <v>62499649556</v>
      </c>
      <c r="C414" s="68" t="s">
        <v>849</v>
      </c>
      <c r="D414" s="68">
        <v>3506100000</v>
      </c>
      <c r="E414" s="68" t="s">
        <v>32</v>
      </c>
      <c r="F414" s="70" t="s">
        <v>836</v>
      </c>
      <c r="G414" s="71" t="s">
        <v>32</v>
      </c>
      <c r="H414" s="70" t="s">
        <v>163</v>
      </c>
      <c r="I414" s="70" t="s">
        <v>35</v>
      </c>
      <c r="J414" s="72" t="s">
        <v>850</v>
      </c>
      <c r="K414" s="72" t="s">
        <v>36</v>
      </c>
      <c r="L414" s="133" t="s">
        <v>590</v>
      </c>
      <c r="M414" s="133" t="s">
        <v>46</v>
      </c>
      <c r="N414" s="145">
        <v>2688389</v>
      </c>
      <c r="O414" s="136" t="s">
        <v>829</v>
      </c>
      <c r="P414" s="139" t="s">
        <v>830</v>
      </c>
      <c r="Q414" s="160">
        <v>46267</v>
      </c>
      <c r="R414" s="140">
        <v>46448</v>
      </c>
      <c r="S414" s="162">
        <v>46255</v>
      </c>
      <c r="T414" s="137">
        <v>46259</v>
      </c>
      <c r="U414" s="137">
        <v>46260</v>
      </c>
      <c r="V414" s="142" t="s">
        <v>682</v>
      </c>
      <c r="W414" s="142" t="s">
        <v>831</v>
      </c>
      <c r="X414" s="143" t="s">
        <v>41</v>
      </c>
      <c r="Y414" s="139" t="s">
        <v>32</v>
      </c>
      <c r="Z414" s="128"/>
      <c r="AA414" s="130" t="s">
        <v>43</v>
      </c>
      <c r="AB414" s="68" t="e">
        <f>+VLOOKUP(A414,'[1]VALID RIM NUEVAM'!A$1:O$65536,15,0)</f>
        <v>#N/A</v>
      </c>
      <c r="AC414" s="70"/>
      <c r="AD414" s="70"/>
      <c r="AE414" s="70"/>
    </row>
    <row r="415" spans="1:31" ht="300">
      <c r="A415" s="68" t="str">
        <f t="shared" si="6"/>
        <v>700160547703M COMPANY</v>
      </c>
      <c r="B415" s="69">
        <v>70016054770</v>
      </c>
      <c r="C415" s="68" t="s">
        <v>695</v>
      </c>
      <c r="D415" s="68">
        <v>3208900000</v>
      </c>
      <c r="E415" s="68" t="s">
        <v>32</v>
      </c>
      <c r="F415" s="70" t="s">
        <v>851</v>
      </c>
      <c r="G415" s="71" t="s">
        <v>32</v>
      </c>
      <c r="H415" s="70" t="s">
        <v>163</v>
      </c>
      <c r="I415" s="70" t="s">
        <v>35</v>
      </c>
      <c r="J415" s="72" t="s">
        <v>852</v>
      </c>
      <c r="K415" s="72" t="s">
        <v>36</v>
      </c>
      <c r="L415" s="133" t="s">
        <v>590</v>
      </c>
      <c r="M415" s="133" t="s">
        <v>46</v>
      </c>
      <c r="N415" s="145">
        <v>2688389</v>
      </c>
      <c r="O415" s="136" t="s">
        <v>829</v>
      </c>
      <c r="P415" s="139" t="s">
        <v>830</v>
      </c>
      <c r="Q415" s="160">
        <v>46267</v>
      </c>
      <c r="R415" s="140">
        <v>46448</v>
      </c>
      <c r="S415" s="162">
        <v>46255</v>
      </c>
      <c r="T415" s="137">
        <v>46259</v>
      </c>
      <c r="U415" s="137">
        <v>46260</v>
      </c>
      <c r="V415" s="142" t="s">
        <v>682</v>
      </c>
      <c r="W415" s="142" t="s">
        <v>831</v>
      </c>
      <c r="X415" s="143" t="s">
        <v>41</v>
      </c>
      <c r="Y415" s="139" t="s">
        <v>32</v>
      </c>
      <c r="Z415" s="128"/>
      <c r="AA415" s="130" t="s">
        <v>43</v>
      </c>
      <c r="AB415" s="68" t="e">
        <f>+VLOOKUP(A415,'[1]VALID RIM NUEVAM'!A$1:O$65536,15,0)</f>
        <v>#N/A</v>
      </c>
      <c r="AC415" s="70"/>
      <c r="AD415" s="70"/>
      <c r="AE415" s="70"/>
    </row>
    <row r="416" spans="1:31" ht="300">
      <c r="A416" s="68" t="str">
        <f t="shared" si="6"/>
        <v>624928803073M COMPANY</v>
      </c>
      <c r="B416" s="69">
        <v>62492880307</v>
      </c>
      <c r="C416" s="68" t="s">
        <v>853</v>
      </c>
      <c r="D416" s="68">
        <v>3506910000</v>
      </c>
      <c r="E416" s="68" t="s">
        <v>32</v>
      </c>
      <c r="F416" s="70" t="s">
        <v>841</v>
      </c>
      <c r="G416" s="71" t="s">
        <v>32</v>
      </c>
      <c r="H416" s="70" t="s">
        <v>163</v>
      </c>
      <c r="I416" s="70" t="s">
        <v>35</v>
      </c>
      <c r="J416" s="72" t="s">
        <v>854</v>
      </c>
      <c r="K416" s="72" t="s">
        <v>36</v>
      </c>
      <c r="L416" s="133" t="s">
        <v>37</v>
      </c>
      <c r="M416" s="133" t="s">
        <v>46</v>
      </c>
      <c r="N416" s="145">
        <v>2688389</v>
      </c>
      <c r="O416" s="136" t="s">
        <v>829</v>
      </c>
      <c r="P416" s="139" t="s">
        <v>830</v>
      </c>
      <c r="Q416" s="160">
        <v>46267</v>
      </c>
      <c r="R416" s="140">
        <v>46448</v>
      </c>
      <c r="S416" s="162">
        <v>46255</v>
      </c>
      <c r="T416" s="137">
        <v>46259</v>
      </c>
      <c r="U416" s="137">
        <v>46260</v>
      </c>
      <c r="V416" s="142" t="s">
        <v>682</v>
      </c>
      <c r="W416" s="142" t="s">
        <v>831</v>
      </c>
      <c r="X416" s="143" t="s">
        <v>41</v>
      </c>
      <c r="Y416" s="139" t="s">
        <v>32</v>
      </c>
      <c r="Z416" s="128"/>
      <c r="AA416" s="130" t="s">
        <v>43</v>
      </c>
      <c r="AB416" s="68" t="e">
        <f>+VLOOKUP(A416,'[1]VALID RIM NUEVAM'!A$1:O$65536,15,0)</f>
        <v>#N/A</v>
      </c>
      <c r="AC416" s="70"/>
      <c r="AD416" s="70"/>
      <c r="AE416" s="70"/>
    </row>
    <row r="417" spans="1:31" ht="300">
      <c r="A417" s="68" t="str">
        <f t="shared" si="6"/>
        <v>750301825313M COMPANY</v>
      </c>
      <c r="B417" s="69">
        <v>75030182531</v>
      </c>
      <c r="C417" s="68" t="s">
        <v>855</v>
      </c>
      <c r="D417" s="68">
        <v>3506910000</v>
      </c>
      <c r="E417" s="68" t="s">
        <v>32</v>
      </c>
      <c r="F417" s="70" t="s">
        <v>856</v>
      </c>
      <c r="G417" s="71" t="s">
        <v>32</v>
      </c>
      <c r="H417" s="70" t="s">
        <v>163</v>
      </c>
      <c r="I417" s="70" t="s">
        <v>35</v>
      </c>
      <c r="J417" s="85">
        <v>33950</v>
      </c>
      <c r="K417" s="72" t="s">
        <v>36</v>
      </c>
      <c r="L417" s="133" t="s">
        <v>37</v>
      </c>
      <c r="M417" s="133" t="s">
        <v>164</v>
      </c>
      <c r="N417" s="145">
        <v>2688389</v>
      </c>
      <c r="O417" s="136" t="s">
        <v>829</v>
      </c>
      <c r="P417" s="139" t="s">
        <v>830</v>
      </c>
      <c r="Q417" s="160">
        <v>46267</v>
      </c>
      <c r="R417" s="140">
        <v>46448</v>
      </c>
      <c r="S417" s="162">
        <v>46255</v>
      </c>
      <c r="T417" s="137">
        <v>46259</v>
      </c>
      <c r="U417" s="137">
        <v>46260</v>
      </c>
      <c r="V417" s="142" t="s">
        <v>682</v>
      </c>
      <c r="W417" s="142" t="s">
        <v>831</v>
      </c>
      <c r="X417" s="143" t="s">
        <v>41</v>
      </c>
      <c r="Y417" s="139" t="s">
        <v>32</v>
      </c>
      <c r="Z417" s="128"/>
      <c r="AA417" s="130" t="s">
        <v>43</v>
      </c>
      <c r="AB417" s="68" t="e">
        <f>+VLOOKUP(A417,'[1]VALID RIM NUEVAM'!A$1:O$65536,15,0)</f>
        <v>#N/A</v>
      </c>
      <c r="AC417" s="70"/>
      <c r="AD417" s="70"/>
      <c r="AE417" s="70"/>
    </row>
    <row r="418" spans="1:31" ht="300">
      <c r="A418" s="68" t="str">
        <f t="shared" si="6"/>
        <v>624908853163M COMPANY</v>
      </c>
      <c r="B418" s="69">
        <v>62490885316</v>
      </c>
      <c r="C418" s="68" t="s">
        <v>857</v>
      </c>
      <c r="D418" s="68">
        <v>3506910000</v>
      </c>
      <c r="E418" s="68" t="s">
        <v>32</v>
      </c>
      <c r="F418" s="70" t="s">
        <v>162</v>
      </c>
      <c r="G418" s="71" t="s">
        <v>32</v>
      </c>
      <c r="H418" s="70" t="s">
        <v>163</v>
      </c>
      <c r="I418" s="70" t="s">
        <v>35</v>
      </c>
      <c r="J418" s="72">
        <v>36.9</v>
      </c>
      <c r="K418" s="72" t="s">
        <v>36</v>
      </c>
      <c r="L418" s="133" t="s">
        <v>37</v>
      </c>
      <c r="M418" s="133" t="s">
        <v>164</v>
      </c>
      <c r="N418" s="145">
        <v>2688389</v>
      </c>
      <c r="O418" s="136" t="s">
        <v>829</v>
      </c>
      <c r="P418" s="139" t="s">
        <v>830</v>
      </c>
      <c r="Q418" s="160">
        <v>46267</v>
      </c>
      <c r="R418" s="140">
        <v>46448</v>
      </c>
      <c r="S418" s="162">
        <v>46255</v>
      </c>
      <c r="T418" s="137">
        <v>46259</v>
      </c>
      <c r="U418" s="137">
        <v>46260</v>
      </c>
      <c r="V418" s="142" t="s">
        <v>682</v>
      </c>
      <c r="W418" s="142" t="s">
        <v>831</v>
      </c>
      <c r="X418" s="143" t="s">
        <v>41</v>
      </c>
      <c r="Y418" s="139" t="s">
        <v>32</v>
      </c>
      <c r="Z418" s="128"/>
      <c r="AA418" s="130" t="s">
        <v>43</v>
      </c>
      <c r="AB418" s="68" t="e">
        <f>+VLOOKUP(A418,'[1]VALID RIM NUEVAM'!A$1:O$65536,15,0)</f>
        <v>#N/A</v>
      </c>
      <c r="AC418" s="70"/>
      <c r="AD418" s="70"/>
      <c r="AE418" s="70"/>
    </row>
    <row r="419" spans="1:31" ht="300">
      <c r="A419" s="68" t="str">
        <f t="shared" si="6"/>
        <v>624274853053M COMPANY</v>
      </c>
      <c r="B419" s="69">
        <v>62427485305</v>
      </c>
      <c r="C419" s="68" t="s">
        <v>184</v>
      </c>
      <c r="D419" s="68">
        <v>3506910000</v>
      </c>
      <c r="E419" s="68" t="s">
        <v>32</v>
      </c>
      <c r="F419" s="70" t="s">
        <v>858</v>
      </c>
      <c r="G419" s="71" t="s">
        <v>32</v>
      </c>
      <c r="H419" s="70" t="s">
        <v>163</v>
      </c>
      <c r="I419" s="70" t="s">
        <v>35</v>
      </c>
      <c r="J419" s="72" t="s">
        <v>859</v>
      </c>
      <c r="K419" s="72" t="s">
        <v>36</v>
      </c>
      <c r="L419" s="133" t="s">
        <v>37</v>
      </c>
      <c r="M419" s="133" t="s">
        <v>164</v>
      </c>
      <c r="N419" s="145">
        <v>2688389</v>
      </c>
      <c r="O419" s="136" t="s">
        <v>829</v>
      </c>
      <c r="P419" s="139" t="s">
        <v>830</v>
      </c>
      <c r="Q419" s="160">
        <v>46267</v>
      </c>
      <c r="R419" s="140">
        <v>46448</v>
      </c>
      <c r="S419" s="162">
        <v>46255</v>
      </c>
      <c r="T419" s="137">
        <v>46259</v>
      </c>
      <c r="U419" s="137">
        <v>46260</v>
      </c>
      <c r="V419" s="142" t="s">
        <v>682</v>
      </c>
      <c r="W419" s="142" t="s">
        <v>831</v>
      </c>
      <c r="X419" s="143" t="s">
        <v>41</v>
      </c>
      <c r="Y419" s="139" t="s">
        <v>32</v>
      </c>
      <c r="Z419" s="128"/>
      <c r="AA419" s="130" t="s">
        <v>43</v>
      </c>
      <c r="AB419" s="68" t="e">
        <f>+VLOOKUP(A419,'[1]VALID RIM NUEVAM'!A$1:O$65536,15,0)</f>
        <v>#N/A</v>
      </c>
      <c r="AC419" s="70"/>
      <c r="AD419" s="70"/>
      <c r="AE419" s="70"/>
    </row>
    <row r="420" spans="1:31" ht="45">
      <c r="A420" s="68" t="str">
        <f t="shared" si="6"/>
        <v>HB0042760673M DO BRASIL LTDA</v>
      </c>
      <c r="B420" s="69" t="s">
        <v>105</v>
      </c>
      <c r="C420" s="68" t="s">
        <v>106</v>
      </c>
      <c r="D420" s="68">
        <v>3909500000</v>
      </c>
      <c r="E420" s="68" t="s">
        <v>32</v>
      </c>
      <c r="F420" s="70" t="s">
        <v>107</v>
      </c>
      <c r="G420" s="71" t="s">
        <v>32</v>
      </c>
      <c r="H420" s="70" t="s">
        <v>108</v>
      </c>
      <c r="I420" s="70" t="s">
        <v>94</v>
      </c>
      <c r="J420" s="86">
        <v>14.698</v>
      </c>
      <c r="K420" s="72" t="s">
        <v>36</v>
      </c>
      <c r="L420" s="133" t="s">
        <v>109</v>
      </c>
      <c r="M420" s="133" t="s">
        <v>46</v>
      </c>
      <c r="N420" s="145">
        <v>2689581</v>
      </c>
      <c r="O420" s="136" t="s">
        <v>860</v>
      </c>
      <c r="P420" s="139" t="s">
        <v>861</v>
      </c>
      <c r="Q420" s="160">
        <v>46267</v>
      </c>
      <c r="R420" s="141">
        <v>46448</v>
      </c>
      <c r="S420" s="162">
        <v>46259</v>
      </c>
      <c r="T420" s="137">
        <v>46262</v>
      </c>
      <c r="U420" s="137">
        <v>46265</v>
      </c>
      <c r="V420" s="142"/>
      <c r="W420" s="142"/>
      <c r="X420" s="143"/>
      <c r="Y420" s="139"/>
      <c r="Z420" s="128"/>
      <c r="AA420" s="130"/>
      <c r="AB420" s="68" t="e">
        <f>+VLOOKUP(A420,'[1]VALID RIM NUEVAM'!A$1:O$65536,15,0)</f>
        <v>#N/A</v>
      </c>
      <c r="AC420" s="70" t="s">
        <v>43</v>
      </c>
      <c r="AD420" s="70"/>
      <c r="AE420" s="70"/>
    </row>
    <row r="421" spans="1:31" ht="60">
      <c r="A421" s="68" t="str">
        <f t="shared" si="6"/>
        <v>604402402853M COMPANY</v>
      </c>
      <c r="B421" s="69">
        <v>60440240285</v>
      </c>
      <c r="C421" s="68">
        <v>6002</v>
      </c>
      <c r="D421" s="68">
        <v>3405300000</v>
      </c>
      <c r="E421" s="68" t="s">
        <v>32</v>
      </c>
      <c r="F421" s="70" t="s">
        <v>862</v>
      </c>
      <c r="G421" s="71" t="s">
        <v>32</v>
      </c>
      <c r="H421" s="70" t="s">
        <v>863</v>
      </c>
      <c r="I421" s="70" t="s">
        <v>35</v>
      </c>
      <c r="J421" s="146">
        <v>23.163080000000001</v>
      </c>
      <c r="K421" s="113" t="s">
        <v>36</v>
      </c>
      <c r="L421" s="147" t="s">
        <v>37</v>
      </c>
      <c r="M421" s="147" t="s">
        <v>164</v>
      </c>
      <c r="N421" s="148">
        <v>2691477</v>
      </c>
      <c r="O421" s="136" t="s">
        <v>864</v>
      </c>
      <c r="P421" s="139" t="s">
        <v>865</v>
      </c>
      <c r="Q421" s="160">
        <v>46268</v>
      </c>
      <c r="R421" s="140">
        <v>46449</v>
      </c>
      <c r="S421" s="162">
        <v>46262</v>
      </c>
      <c r="T421" s="137">
        <v>46265</v>
      </c>
      <c r="U421" s="137">
        <v>46265</v>
      </c>
      <c r="V421" s="149" t="s">
        <v>41</v>
      </c>
      <c r="W421" s="149" t="s">
        <v>32</v>
      </c>
      <c r="X421" s="143" t="s">
        <v>41</v>
      </c>
      <c r="Y421" s="139" t="s">
        <v>32</v>
      </c>
      <c r="Z421" s="128"/>
      <c r="AA421" s="130" t="s">
        <v>43</v>
      </c>
      <c r="AB421" s="68" t="e">
        <f>+VLOOKUP(A421,'[1]VALID RIM NUEVAM'!A$1:O$65536,15,0)</f>
        <v>#N/A</v>
      </c>
      <c r="AC421" s="70"/>
      <c r="AD421" s="70"/>
      <c r="AE421" s="70"/>
    </row>
    <row r="422" spans="1:31" ht="45">
      <c r="A422" s="68" t="str">
        <f t="shared" si="6"/>
        <v>806100336173M COMPANY</v>
      </c>
      <c r="B422" s="69">
        <v>80610033617</v>
      </c>
      <c r="C422" s="68">
        <v>20011</v>
      </c>
      <c r="D422" s="68">
        <v>8535909000</v>
      </c>
      <c r="E422" s="68" t="s">
        <v>32</v>
      </c>
      <c r="F422" s="70">
        <v>3517</v>
      </c>
      <c r="G422" s="71">
        <v>47733</v>
      </c>
      <c r="H422" s="70" t="s">
        <v>141</v>
      </c>
      <c r="I422" s="70" t="s">
        <v>35</v>
      </c>
      <c r="J422" s="94">
        <v>25.55667</v>
      </c>
      <c r="K422" s="94" t="s">
        <v>36</v>
      </c>
      <c r="L422" s="144" t="s">
        <v>37</v>
      </c>
      <c r="M422" s="144" t="s">
        <v>38</v>
      </c>
      <c r="N422" s="138">
        <v>2692993</v>
      </c>
      <c r="O422" s="136" t="s">
        <v>866</v>
      </c>
      <c r="P422" s="139" t="s">
        <v>867</v>
      </c>
      <c r="Q422" s="160">
        <v>46269</v>
      </c>
      <c r="R422" s="140">
        <v>46449</v>
      </c>
      <c r="S422" s="162">
        <v>46266</v>
      </c>
      <c r="T422" s="137">
        <v>46267</v>
      </c>
      <c r="U422" s="137">
        <v>46267</v>
      </c>
      <c r="V422" s="142" t="s">
        <v>41</v>
      </c>
      <c r="W422" s="142" t="s">
        <v>32</v>
      </c>
      <c r="X422" s="143" t="s">
        <v>41</v>
      </c>
      <c r="Y422" s="139" t="s">
        <v>32</v>
      </c>
      <c r="Z422" s="128"/>
      <c r="AA422" s="130" t="s">
        <v>43</v>
      </c>
      <c r="AB422" s="68" t="e">
        <f>+VLOOKUP(A422,'[1]VALID RIM NUEVAM'!A$1:O$65536,15,0)</f>
        <v>#N/A</v>
      </c>
      <c r="AC422" s="70"/>
      <c r="AD422" s="70"/>
      <c r="AE422" s="70"/>
    </row>
    <row r="423" spans="1:31" ht="90">
      <c r="A423" s="128" t="str">
        <f t="shared" si="6"/>
        <v>700716829603M COMPANY</v>
      </c>
      <c r="B423" s="129">
        <v>70071682960</v>
      </c>
      <c r="C423" s="128" t="s">
        <v>868</v>
      </c>
      <c r="D423" s="128">
        <v>3402500000</v>
      </c>
      <c r="E423" s="128">
        <v>20102400</v>
      </c>
      <c r="F423" s="130" t="s">
        <v>869</v>
      </c>
      <c r="G423" s="131" t="s">
        <v>870</v>
      </c>
      <c r="H423" s="130" t="s">
        <v>871</v>
      </c>
      <c r="I423" s="130" t="s">
        <v>35</v>
      </c>
      <c r="J423" s="150">
        <v>157.44999999999999</v>
      </c>
      <c r="K423" s="150" t="s">
        <v>36</v>
      </c>
      <c r="L423" s="144" t="s">
        <v>37</v>
      </c>
      <c r="M423" s="144" t="s">
        <v>86</v>
      </c>
      <c r="N423" s="138">
        <v>2692280</v>
      </c>
      <c r="O423" s="136" t="s">
        <v>872</v>
      </c>
      <c r="P423" s="139" t="s">
        <v>873</v>
      </c>
      <c r="Q423" s="160">
        <v>46268</v>
      </c>
      <c r="R423" s="140">
        <v>46455</v>
      </c>
      <c r="S423" s="162">
        <v>46266</v>
      </c>
      <c r="T423" s="137">
        <v>46267</v>
      </c>
      <c r="U423" s="137">
        <v>46267</v>
      </c>
      <c r="V423" s="142" t="s">
        <v>41</v>
      </c>
      <c r="W423" s="142" t="s">
        <v>32</v>
      </c>
      <c r="X423" s="143" t="s">
        <v>41</v>
      </c>
      <c r="Y423" s="139" t="s">
        <v>32</v>
      </c>
      <c r="Z423" s="128"/>
      <c r="AA423" s="130" t="s">
        <v>43</v>
      </c>
      <c r="AB423" s="144" t="e">
        <f>+VLOOKUP(A423,'[1]VALID RIM NUEVAM'!A$1:O$65536,15,0)</f>
        <v>#N/A</v>
      </c>
      <c r="AC423" s="130"/>
      <c r="AD423" s="130"/>
      <c r="AE423" s="130"/>
    </row>
    <row r="424" spans="1:31" ht="30">
      <c r="A424" s="128" t="str">
        <f t="shared" si="6"/>
        <v>615000613223M COMPANY</v>
      </c>
      <c r="B424" s="129">
        <v>61500061322</v>
      </c>
      <c r="C424" s="128" t="s">
        <v>32</v>
      </c>
      <c r="D424" s="128">
        <v>3405900000</v>
      </c>
      <c r="E424" s="128">
        <v>20167734</v>
      </c>
      <c r="F424" s="130" t="s">
        <v>874</v>
      </c>
      <c r="G424" s="131">
        <v>48775</v>
      </c>
      <c r="H424" s="130" t="s">
        <v>45</v>
      </c>
      <c r="I424" s="130" t="s">
        <v>35</v>
      </c>
      <c r="J424" s="132">
        <v>36.195959999999999</v>
      </c>
      <c r="K424" s="132" t="s">
        <v>36</v>
      </c>
      <c r="L424" s="133" t="s">
        <v>37</v>
      </c>
      <c r="M424" s="133" t="s">
        <v>875</v>
      </c>
      <c r="N424" s="145">
        <v>2694399</v>
      </c>
      <c r="O424" s="136" t="s">
        <v>876</v>
      </c>
      <c r="P424" s="139" t="s">
        <v>877</v>
      </c>
      <c r="Q424" s="160">
        <v>46275</v>
      </c>
      <c r="R424" s="140">
        <v>46456</v>
      </c>
      <c r="S424" s="162">
        <v>46269</v>
      </c>
      <c r="T424" s="137">
        <v>46272</v>
      </c>
      <c r="U424" s="137">
        <v>46272</v>
      </c>
      <c r="V424" s="142" t="s">
        <v>41</v>
      </c>
      <c r="W424" s="142" t="s">
        <v>32</v>
      </c>
      <c r="X424" s="143" t="s">
        <v>41</v>
      </c>
      <c r="Y424" s="139" t="s">
        <v>32</v>
      </c>
      <c r="Z424" s="128"/>
      <c r="AA424" s="130" t="s">
        <v>43</v>
      </c>
      <c r="AB424" s="128" t="e">
        <f>+VLOOKUP(A424,'[1]VALID RIM NUEVAM'!A$1:O$65536,15,0)</f>
        <v>#N/A</v>
      </c>
      <c r="AC424" s="130"/>
      <c r="AD424" s="130"/>
      <c r="AE424" s="130"/>
    </row>
    <row r="425" spans="1:31" ht="45">
      <c r="A425" s="151" t="str">
        <f t="shared" si="6"/>
        <v>806100480863M COMPANY</v>
      </c>
      <c r="B425" s="152">
        <v>80610048086</v>
      </c>
      <c r="C425" s="151"/>
      <c r="D425" s="151">
        <v>8536909000</v>
      </c>
      <c r="E425" s="151" t="s">
        <v>32</v>
      </c>
      <c r="F425" s="153"/>
      <c r="G425" s="154"/>
      <c r="H425" s="153" t="s">
        <v>141</v>
      </c>
      <c r="I425" s="153" t="s">
        <v>35</v>
      </c>
      <c r="J425" s="155"/>
      <c r="K425" s="155"/>
      <c r="L425" s="156"/>
      <c r="M425" s="156"/>
      <c r="N425" s="157"/>
      <c r="O425" s="158"/>
      <c r="P425" s="159"/>
      <c r="Q425" s="160"/>
      <c r="R425" s="161"/>
      <c r="S425" s="162"/>
      <c r="T425" s="162"/>
      <c r="U425" s="162"/>
      <c r="V425" s="163"/>
      <c r="W425" s="163"/>
      <c r="X425" s="164"/>
      <c r="Y425" s="159"/>
      <c r="Z425" s="151"/>
      <c r="AA425" s="153"/>
      <c r="AB425" s="151" t="e">
        <f>+VLOOKUP(A425,'[1]VALID RIM NUEVAM'!A$1:O$65536,15,0)</f>
        <v>#N/A</v>
      </c>
      <c r="AC425" s="153"/>
      <c r="AD425" s="153"/>
      <c r="AE425" s="153"/>
    </row>
    <row r="426" spans="1:31" ht="45">
      <c r="A426" s="151" t="str">
        <f t="shared" si="6"/>
        <v>806112322003M COMPANY</v>
      </c>
      <c r="B426" s="152">
        <v>80611232200</v>
      </c>
      <c r="C426" s="151"/>
      <c r="D426" s="151">
        <v>8535909000</v>
      </c>
      <c r="E426" s="151" t="s">
        <v>32</v>
      </c>
      <c r="F426" s="153"/>
      <c r="G426" s="154"/>
      <c r="H426" s="153" t="s">
        <v>141</v>
      </c>
      <c r="I426" s="153" t="s">
        <v>35</v>
      </c>
      <c r="J426" s="155"/>
      <c r="K426" s="155"/>
      <c r="L426" s="156"/>
      <c r="M426" s="156"/>
      <c r="N426" s="157"/>
      <c r="O426" s="158"/>
      <c r="P426" s="159"/>
      <c r="Q426" s="160"/>
      <c r="R426" s="161"/>
      <c r="S426" s="162"/>
      <c r="T426" s="162"/>
      <c r="U426" s="162"/>
      <c r="V426" s="163"/>
      <c r="W426" s="163"/>
      <c r="X426" s="164"/>
      <c r="Y426" s="159"/>
      <c r="Z426" s="151"/>
      <c r="AA426" s="153"/>
      <c r="AB426" s="151" t="e">
        <f>+VLOOKUP(A426,'[1]VALID RIM NUEVAM'!A$1:O$65536,15,0)</f>
        <v>#N/A</v>
      </c>
      <c r="AC426" s="153"/>
      <c r="AD426" s="153"/>
      <c r="AE426" s="153"/>
    </row>
    <row r="427" spans="1:31" ht="30">
      <c r="A427" s="128" t="str">
        <f t="shared" si="6"/>
        <v>XX100024544MEDMIX SWITZERLAND</v>
      </c>
      <c r="B427" s="129" t="s">
        <v>198</v>
      </c>
      <c r="C427" s="128">
        <v>160240</v>
      </c>
      <c r="D427" s="128">
        <v>9018499000</v>
      </c>
      <c r="E427" s="128" t="s">
        <v>32</v>
      </c>
      <c r="F427" s="130">
        <v>2014078787</v>
      </c>
      <c r="G427" s="131" t="s">
        <v>32</v>
      </c>
      <c r="H427" s="130" t="s">
        <v>45</v>
      </c>
      <c r="I427" s="130" t="s">
        <v>199</v>
      </c>
      <c r="J427" s="132">
        <v>21.87</v>
      </c>
      <c r="K427" s="132" t="s">
        <v>200</v>
      </c>
      <c r="L427" s="133" t="s">
        <v>201</v>
      </c>
      <c r="M427" s="133" t="s">
        <v>38</v>
      </c>
      <c r="N427" s="145">
        <v>2695159</v>
      </c>
      <c r="O427" s="136" t="s">
        <v>878</v>
      </c>
      <c r="P427" s="139" t="s">
        <v>879</v>
      </c>
      <c r="Q427" s="160">
        <v>46279</v>
      </c>
      <c r="R427" s="140">
        <v>46460</v>
      </c>
      <c r="S427" s="162">
        <v>46272</v>
      </c>
      <c r="T427" s="137">
        <v>46274</v>
      </c>
      <c r="U427" s="137">
        <v>46274</v>
      </c>
      <c r="V427" s="142" t="s">
        <v>41</v>
      </c>
      <c r="W427" s="142" t="s">
        <v>32</v>
      </c>
      <c r="X427" s="143" t="s">
        <v>41</v>
      </c>
      <c r="Y427" s="139" t="s">
        <v>32</v>
      </c>
      <c r="Z427" s="128"/>
      <c r="AA427" s="130" t="s">
        <v>43</v>
      </c>
      <c r="AB427" s="128" t="e">
        <f>+VLOOKUP(A427,'[1]VALID RIM NUEVAM'!A$1:O$65536,15,0)</f>
        <v>#N/A</v>
      </c>
      <c r="AC427" s="130"/>
      <c r="AD427" s="130"/>
      <c r="AE427" s="130"/>
    </row>
    <row r="428" spans="1:31" ht="30">
      <c r="A428" s="128" t="str">
        <f t="shared" si="6"/>
        <v>700070499123M COMPANY</v>
      </c>
      <c r="B428" s="129">
        <v>70007049912</v>
      </c>
      <c r="C428" s="128" t="s">
        <v>206</v>
      </c>
      <c r="D428" s="128">
        <v>3809910000</v>
      </c>
      <c r="E428" s="128">
        <v>20187798</v>
      </c>
      <c r="F428" s="130" t="s">
        <v>207</v>
      </c>
      <c r="G428" s="131">
        <v>46577</v>
      </c>
      <c r="H428" s="130" t="s">
        <v>45</v>
      </c>
      <c r="I428" s="130" t="s">
        <v>35</v>
      </c>
      <c r="J428" s="135">
        <v>16.96</v>
      </c>
      <c r="K428" s="135" t="s">
        <v>36</v>
      </c>
      <c r="L428" s="165" t="s">
        <v>62</v>
      </c>
      <c r="M428" s="133" t="s">
        <v>86</v>
      </c>
      <c r="N428" s="145">
        <v>2695164</v>
      </c>
      <c r="O428" s="136" t="s">
        <v>880</v>
      </c>
      <c r="P428" s="139" t="s">
        <v>881</v>
      </c>
      <c r="Q428" s="160">
        <v>46279</v>
      </c>
      <c r="R428" s="140">
        <v>46460</v>
      </c>
      <c r="S428" s="162">
        <v>46272</v>
      </c>
      <c r="T428" s="137">
        <v>46274</v>
      </c>
      <c r="U428" s="137">
        <v>46274</v>
      </c>
      <c r="V428" s="142" t="s">
        <v>41</v>
      </c>
      <c r="W428" s="142" t="s">
        <v>32</v>
      </c>
      <c r="X428" s="143" t="s">
        <v>41</v>
      </c>
      <c r="Y428" s="139" t="s">
        <v>32</v>
      </c>
      <c r="Z428" s="128"/>
      <c r="AA428" s="130" t="s">
        <v>43</v>
      </c>
      <c r="AB428" s="128" t="e">
        <f>+VLOOKUP(A428,'[1]VALID RIM NUEVAM'!A$1:O$65536,15,0)</f>
        <v>#N/A</v>
      </c>
      <c r="AC428" s="130"/>
      <c r="AD428" s="130"/>
      <c r="AE428" s="130"/>
    </row>
    <row r="429" spans="1:31" ht="225">
      <c r="A429" s="128" t="str">
        <f t="shared" si="6"/>
        <v>700716831743M COMPANY</v>
      </c>
      <c r="B429" s="129">
        <v>70071683174</v>
      </c>
      <c r="C429" s="128" t="s">
        <v>174</v>
      </c>
      <c r="D429" s="128">
        <v>3402909900</v>
      </c>
      <c r="E429" s="128" t="s">
        <v>32</v>
      </c>
      <c r="F429" s="130" t="s">
        <v>175</v>
      </c>
      <c r="G429" s="131" t="s">
        <v>32</v>
      </c>
      <c r="H429" s="130" t="s">
        <v>176</v>
      </c>
      <c r="I429" s="130" t="s">
        <v>35</v>
      </c>
      <c r="J429" s="135">
        <v>135.44999999999999</v>
      </c>
      <c r="K429" s="132" t="s">
        <v>36</v>
      </c>
      <c r="L429" s="133" t="s">
        <v>37</v>
      </c>
      <c r="M429" s="133" t="s">
        <v>431</v>
      </c>
      <c r="N429" s="145">
        <v>2684472</v>
      </c>
      <c r="O429" s="136" t="s">
        <v>882</v>
      </c>
      <c r="P429" s="139" t="s">
        <v>883</v>
      </c>
      <c r="Q429" s="160">
        <v>46280</v>
      </c>
      <c r="R429" s="140">
        <v>46461</v>
      </c>
      <c r="S429" s="162">
        <v>46246</v>
      </c>
      <c r="T429" s="137">
        <v>46279</v>
      </c>
      <c r="U429" s="137">
        <v>46279</v>
      </c>
      <c r="V429" s="142" t="s">
        <v>41</v>
      </c>
      <c r="W429" s="142" t="s">
        <v>32</v>
      </c>
      <c r="X429" s="143" t="s">
        <v>41</v>
      </c>
      <c r="Y429" s="139" t="s">
        <v>32</v>
      </c>
      <c r="Z429" s="128"/>
      <c r="AA429" s="130" t="s">
        <v>43</v>
      </c>
      <c r="AB429" s="134" t="e">
        <f>+VLOOKUP(A429,'[1]VALID RIM NUEVAM'!A$1:O$65536,15,0)</f>
        <v>#N/A</v>
      </c>
      <c r="AC429" s="130" t="s">
        <v>43</v>
      </c>
      <c r="AD429" s="130"/>
      <c r="AE429" s="130"/>
    </row>
    <row r="430" spans="1:31" ht="165">
      <c r="A430" s="128" t="str">
        <f t="shared" si="6"/>
        <v>750400747283M COMPANY</v>
      </c>
      <c r="B430" s="129">
        <v>75040074728</v>
      </c>
      <c r="C430" s="128" t="s">
        <v>181</v>
      </c>
      <c r="D430" s="128">
        <v>3402909900</v>
      </c>
      <c r="E430" s="128" t="s">
        <v>32</v>
      </c>
      <c r="F430" s="130" t="s">
        <v>182</v>
      </c>
      <c r="G430" s="131" t="s">
        <v>32</v>
      </c>
      <c r="H430" s="130" t="s">
        <v>176</v>
      </c>
      <c r="I430" s="130" t="s">
        <v>35</v>
      </c>
      <c r="J430" s="135">
        <v>73.14</v>
      </c>
      <c r="K430" s="135" t="s">
        <v>36</v>
      </c>
      <c r="L430" s="165" t="s">
        <v>62</v>
      </c>
      <c r="M430" s="133" t="s">
        <v>431</v>
      </c>
      <c r="N430" s="145">
        <v>2684472</v>
      </c>
      <c r="O430" s="136" t="s">
        <v>882</v>
      </c>
      <c r="P430" s="139" t="s">
        <v>883</v>
      </c>
      <c r="Q430" s="160">
        <v>46280</v>
      </c>
      <c r="R430" s="140">
        <v>46461</v>
      </c>
      <c r="S430" s="162">
        <v>46246</v>
      </c>
      <c r="T430" s="137">
        <v>46279</v>
      </c>
      <c r="U430" s="137">
        <v>46279</v>
      </c>
      <c r="V430" s="142" t="s">
        <v>41</v>
      </c>
      <c r="W430" s="142" t="s">
        <v>32</v>
      </c>
      <c r="X430" s="143" t="s">
        <v>41</v>
      </c>
      <c r="Y430" s="139" t="s">
        <v>32</v>
      </c>
      <c r="Z430" s="128"/>
      <c r="AA430" s="130" t="s">
        <v>43</v>
      </c>
      <c r="AB430" s="134" t="e">
        <f>+VLOOKUP(A430,'[1]VALID RIM NUEVAM'!A$1:O$65536,15,0)</f>
        <v>#N/A</v>
      </c>
      <c r="AC430" s="130" t="s">
        <v>43</v>
      </c>
      <c r="AD430" s="130"/>
      <c r="AE430" s="130"/>
    </row>
    <row r="431" spans="1:31" ht="330">
      <c r="A431" s="68" t="str">
        <f t="shared" si="6"/>
        <v>XC0038287923M CHINA LIMITED</v>
      </c>
      <c r="B431" s="69" t="s">
        <v>217</v>
      </c>
      <c r="C431" s="68" t="s">
        <v>218</v>
      </c>
      <c r="D431" s="68" t="s">
        <v>219</v>
      </c>
      <c r="E431" s="68" t="s">
        <v>32</v>
      </c>
      <c r="F431" s="70" t="s">
        <v>884</v>
      </c>
      <c r="G431" s="71" t="s">
        <v>32</v>
      </c>
      <c r="H431" s="70" t="s">
        <v>45</v>
      </c>
      <c r="I431" s="70" t="s">
        <v>221</v>
      </c>
      <c r="J431" s="72">
        <v>9.4589999999999996</v>
      </c>
      <c r="K431" s="72" t="s">
        <v>36</v>
      </c>
      <c r="L431" s="73" t="s">
        <v>222</v>
      </c>
      <c r="M431" s="73" t="s">
        <v>86</v>
      </c>
      <c r="N431" s="145">
        <v>2697512</v>
      </c>
      <c r="O431" s="136" t="s">
        <v>885</v>
      </c>
      <c r="P431" s="139" t="s">
        <v>886</v>
      </c>
      <c r="Q431" s="160">
        <v>46282</v>
      </c>
      <c r="R431" s="140">
        <v>46463</v>
      </c>
      <c r="S431" s="162">
        <v>46276</v>
      </c>
      <c r="T431" s="137">
        <v>46280</v>
      </c>
      <c r="U431" s="137">
        <v>46280</v>
      </c>
      <c r="V431" s="142" t="s">
        <v>41</v>
      </c>
      <c r="W431" s="142" t="s">
        <v>32</v>
      </c>
      <c r="X431" s="143" t="s">
        <v>41</v>
      </c>
      <c r="Y431" s="139" t="s">
        <v>32</v>
      </c>
      <c r="Z431" s="128"/>
      <c r="AA431" s="130" t="s">
        <v>43</v>
      </c>
      <c r="AB431" s="128" t="e">
        <f>+VLOOKUP(A431,'[1]VALID RIM NUEVAM'!A$1:O$65536,15,0)</f>
        <v>#N/A</v>
      </c>
      <c r="AC431" s="130"/>
      <c r="AD431" s="130"/>
      <c r="AE431" s="130"/>
    </row>
    <row r="432" spans="1:31" ht="45">
      <c r="A432" s="128" t="str">
        <f t="shared" si="6"/>
        <v>XA009225468ANHUI CHARDON ELECTRIC LIMITED</v>
      </c>
      <c r="B432" s="129" t="s">
        <v>887</v>
      </c>
      <c r="C432" s="128" t="s">
        <v>888</v>
      </c>
      <c r="D432" s="128">
        <v>8535909000</v>
      </c>
      <c r="E432" s="128" t="s">
        <v>32</v>
      </c>
      <c r="F432" s="130">
        <v>2538</v>
      </c>
      <c r="G432" s="131">
        <v>47877</v>
      </c>
      <c r="H432" s="130" t="s">
        <v>141</v>
      </c>
      <c r="I432" s="130" t="s">
        <v>240</v>
      </c>
      <c r="J432" s="132">
        <v>35.14</v>
      </c>
      <c r="K432" s="132" t="s">
        <v>36</v>
      </c>
      <c r="L432" s="133" t="s">
        <v>889</v>
      </c>
      <c r="M432" s="133" t="s">
        <v>38</v>
      </c>
      <c r="N432" s="145">
        <v>26100229</v>
      </c>
      <c r="O432" s="136" t="s">
        <v>890</v>
      </c>
      <c r="P432" s="139" t="s">
        <v>891</v>
      </c>
      <c r="Q432" s="160">
        <v>46287</v>
      </c>
      <c r="R432" s="140">
        <v>46467</v>
      </c>
      <c r="S432" s="162">
        <v>46282</v>
      </c>
      <c r="T432" s="137">
        <v>46283</v>
      </c>
      <c r="U432" s="137">
        <v>46283</v>
      </c>
      <c r="V432" s="142" t="s">
        <v>41</v>
      </c>
      <c r="W432" s="142" t="s">
        <v>32</v>
      </c>
      <c r="X432" s="143" t="s">
        <v>41</v>
      </c>
      <c r="Y432" s="139" t="s">
        <v>32</v>
      </c>
      <c r="Z432" s="128"/>
      <c r="AA432" s="130" t="s">
        <v>43</v>
      </c>
      <c r="AB432" s="128" t="e">
        <f>+VLOOKUP(A432,'[1]VALID RIM NUEVAM'!A$1:O$65536,15,0)</f>
        <v>#N/A</v>
      </c>
      <c r="AC432" s="130"/>
      <c r="AD432" s="130"/>
      <c r="AE432" s="130"/>
    </row>
    <row r="433" spans="1:31">
      <c r="A433" s="128" t="str">
        <f>+'[1]RIM NEGADO.VENCIDO'!B2635&amp;'[1]RIM NEGADO.VENCIDO'!I2635</f>
        <v/>
      </c>
      <c r="B433" s="129"/>
      <c r="C433" s="128"/>
      <c r="D433" s="128"/>
      <c r="E433" s="128">
        <v>20102400</v>
      </c>
      <c r="F433" s="130" t="s">
        <v>892</v>
      </c>
      <c r="G433" s="131">
        <v>47447</v>
      </c>
      <c r="H433" s="130" t="s">
        <v>45</v>
      </c>
      <c r="I433" s="130"/>
      <c r="J433" s="132"/>
      <c r="K433" s="132"/>
      <c r="L433" s="133"/>
      <c r="M433" s="133"/>
      <c r="N433" s="145"/>
      <c r="O433" s="136"/>
      <c r="P433" s="139"/>
      <c r="Q433" s="160"/>
      <c r="R433" s="141"/>
      <c r="S433" s="162"/>
      <c r="T433" s="137"/>
      <c r="U433" s="137"/>
      <c r="V433" s="142"/>
      <c r="W433" s="142"/>
      <c r="X433" s="143"/>
      <c r="Y433" s="139"/>
      <c r="Z433" s="128"/>
      <c r="AA433" s="130"/>
      <c r="AB433" s="128" t="e">
        <f>+VLOOKUP(A433,'[1]VALID RIM NUEVAM'!A$1:O$65536,15,0)</f>
        <v>#N/A</v>
      </c>
      <c r="AC433" s="130"/>
      <c r="AD433" s="130"/>
      <c r="AE433" s="130"/>
    </row>
    <row r="434" spans="1:31" ht="60">
      <c r="A434" s="128" t="str">
        <f>+B434&amp;I434</f>
        <v>806114344753M COMPANY</v>
      </c>
      <c r="B434" s="129">
        <v>80611434475</v>
      </c>
      <c r="C434" s="128" t="s">
        <v>31</v>
      </c>
      <c r="D434" s="128">
        <v>3814009000</v>
      </c>
      <c r="E434" s="128" t="s">
        <v>32</v>
      </c>
      <c r="F434" s="130" t="s">
        <v>187</v>
      </c>
      <c r="G434" s="131" t="s">
        <v>32</v>
      </c>
      <c r="H434" s="130" t="s">
        <v>188</v>
      </c>
      <c r="I434" s="130" t="s">
        <v>35</v>
      </c>
      <c r="J434" s="132">
        <v>3.9586899999999998</v>
      </c>
      <c r="K434" s="132" t="s">
        <v>36</v>
      </c>
      <c r="L434" s="133" t="s">
        <v>37</v>
      </c>
      <c r="M434" s="133" t="s">
        <v>38</v>
      </c>
      <c r="N434" s="145">
        <v>2695152</v>
      </c>
      <c r="O434" s="136"/>
      <c r="P434" s="139"/>
      <c r="Q434" s="160"/>
      <c r="R434" s="141"/>
      <c r="S434" s="162">
        <v>46272</v>
      </c>
      <c r="T434" s="137"/>
      <c r="U434" s="137"/>
      <c r="V434" s="142"/>
      <c r="W434" s="142"/>
      <c r="X434" s="143"/>
      <c r="Y434" s="139"/>
      <c r="Z434" s="166" t="s">
        <v>893</v>
      </c>
      <c r="AA434" s="130"/>
      <c r="AB434" s="128" t="e">
        <f>+VLOOKUP(A434,'[1]VALID RIM NUEVAM'!A$1:O$65536,15,0)</f>
        <v>#N/A</v>
      </c>
      <c r="AC434" s="130" t="s">
        <v>43</v>
      </c>
      <c r="AD434" s="130"/>
      <c r="AE434" s="130"/>
    </row>
    <row r="435" spans="1:31" ht="30">
      <c r="A435" s="128" t="str">
        <f>+B435&amp;I435</f>
        <v>UU013138613/UU013138613M CHILE SA</v>
      </c>
      <c r="B435" s="129" t="s">
        <v>894</v>
      </c>
      <c r="C435" s="128" t="s">
        <v>358</v>
      </c>
      <c r="D435" s="128">
        <v>3005109000</v>
      </c>
      <c r="E435" s="128">
        <v>20325647</v>
      </c>
      <c r="F435" s="130" t="s">
        <v>359</v>
      </c>
      <c r="G435" s="131">
        <v>49740</v>
      </c>
      <c r="H435" s="130" t="s">
        <v>45</v>
      </c>
      <c r="I435" s="130" t="s">
        <v>360</v>
      </c>
      <c r="J435" s="167">
        <v>8.0380000000000003</v>
      </c>
      <c r="K435" s="132" t="s">
        <v>36</v>
      </c>
      <c r="L435" s="133" t="s">
        <v>895</v>
      </c>
      <c r="M435" s="133" t="s">
        <v>86</v>
      </c>
      <c r="N435" s="145">
        <v>26108288</v>
      </c>
      <c r="O435" s="136"/>
      <c r="P435" s="139"/>
      <c r="Q435" s="160"/>
      <c r="R435" s="141"/>
      <c r="S435" s="162"/>
      <c r="T435" s="137"/>
      <c r="U435" s="137"/>
      <c r="V435" s="142" t="s">
        <v>41</v>
      </c>
      <c r="W435" s="142" t="s">
        <v>32</v>
      </c>
      <c r="X435" s="143" t="s">
        <v>41</v>
      </c>
      <c r="Y435" s="139" t="s">
        <v>32</v>
      </c>
      <c r="Z435" s="168"/>
      <c r="AA435" s="169" t="s">
        <v>43</v>
      </c>
      <c r="AB435" s="170" t="e">
        <f>+VLOOKUP(A435,'[1]VALID RIM NUEVAM'!A$1:O$65536,15,0)</f>
        <v>#N/A</v>
      </c>
      <c r="AC435" s="130" t="s">
        <v>43</v>
      </c>
      <c r="AD435" s="130"/>
      <c r="AE435" s="130"/>
    </row>
  </sheetData>
  <sheetCalcPr fullCalcOnLoad="1"/>
  <protectedRanges>
    <protectedRange sqref="Z429 O9 Z30:Z31 Z36 Z89:Z90 Z95 Z124:Z127 Z168 Z118:Z121 Z335 Z267:Z331 Z101:Z116 Z130 Z208:Z222 O11:O128 P2:R128 O129:R221 O225:R422 O1:R1 Z1:Z19 O425:R435" name="Rango1"/>
    <protectedRange sqref="O222:R224" name="Rango1_2"/>
    <protectedRange sqref="O423:R424" name="Rango1_2_2"/>
  </protectedRanges>
  <conditionalFormatting sqref="A1:A435">
    <cfRule type="duplicateValues" dxfId="44" priority="5"/>
  </conditionalFormatting>
  <conditionalFormatting sqref="A423:A426">
    <cfRule type="duplicateValues" dxfId="43" priority="2"/>
  </conditionalFormatting>
  <conditionalFormatting sqref="B319:B320">
    <cfRule type="duplicateValues" dxfId="42" priority="4"/>
  </conditionalFormatting>
  <conditionalFormatting sqref="B405:B422 B1:B402 B424:B435">
    <cfRule type="expression" dxfId="41" priority="13" stopIfTrue="1">
      <formula>AND(COUNTIF($B$405:$B$422, B1)+COUNTIF($B$1:$B$402, B1)+COUNTIF($B$424:$B$435, B1)&gt;1,NOT(ISBLANK(B1)))</formula>
    </cfRule>
  </conditionalFormatting>
  <conditionalFormatting sqref="B423">
    <cfRule type="duplicateValues" dxfId="40" priority="3"/>
  </conditionalFormatting>
  <conditionalFormatting sqref="C1:C435">
    <cfRule type="duplicateValues" dxfId="39" priority="1"/>
  </conditionalFormatting>
  <conditionalFormatting sqref="AC1">
    <cfRule type="containsText" dxfId="38" priority="9" operator="containsText" text="#N/D">
      <formula>NOT(ISERROR(SEARCH("#N/D",AC1)))</formula>
    </cfRule>
  </conditionalFormatting>
  <conditionalFormatting sqref="AD1">
    <cfRule type="containsText" dxfId="37" priority="8" operator="containsText" text="#N/D">
      <formula>NOT(ISERROR(SEARCH("#N/D",AD1)))</formula>
    </cfRule>
  </conditionalFormatting>
  <conditionalFormatting sqref="AE1">
    <cfRule type="containsText" dxfId="36" priority="7" operator="containsText" text="#N/D">
      <formula>NOT(ISERROR(SEARCH("#N/D",AE1)))</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Registros  3M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 Urbina</dc:creator>
  <cp:lastModifiedBy>REN-LT-330</cp:lastModifiedBy>
  <dcterms:created xsi:type="dcterms:W3CDTF">2026-10-09T16:44:22Z</dcterms:created>
  <dcterms:modified xsi:type="dcterms:W3CDTF">2026-10-09T18:34:51Z</dcterms:modified>
</cp:coreProperties>
</file>